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4cb618e35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b0ca90273ca14156"/>
    <x:sheet xmlns:r="http://schemas.openxmlformats.org/officeDocument/2006/relationships" name="Iter1" sheetId="2" r:id="Ra058ac44846e41af"/>
    <x:sheet xmlns:r="http://schemas.openxmlformats.org/officeDocument/2006/relationships" name="Iter2" sheetId="3" r:id="R1c57bb5169174246"/>
    <x:sheet xmlns:r="http://schemas.openxmlformats.org/officeDocument/2006/relationships" name="Iter3" sheetId="4" r:id="R7ff6163b5d5e4d64"/>
    <x:sheet xmlns:r="http://schemas.openxmlformats.org/officeDocument/2006/relationships" name="Iter4" sheetId="5" r:id="R9bb1aacdf4484ea8"/>
    <x:sheet xmlns:r="http://schemas.openxmlformats.org/officeDocument/2006/relationships" name="Dashboard" sheetId="6" r:id="R19e578e90d7149f3"/>
    <x:sheet xmlns:r="http://schemas.openxmlformats.org/officeDocument/2006/relationships" name="Member Workload" sheetId="7" r:id="Rb317b526a95a4d02"/>
    <x:sheet xmlns:r="http://schemas.openxmlformats.org/officeDocument/2006/relationships" name="Gap Analysis" sheetId="8" r:id="R988a3ef191ee4c01"/>
    <x:sheet xmlns:r="http://schemas.openxmlformats.org/officeDocument/2006/relationships" name="Traceability" sheetId="9" r:id="R7c5dc183df394d0f"/>
    <x:sheet xmlns:r="http://schemas.openxmlformats.org/officeDocument/2006/relationships" name="Guide &amp; DoD" sheetId="10" r:id="R863dbdf9fa404c7e"/>
    <x:sheet xmlns:r="http://schemas.openxmlformats.org/officeDocument/2006/relationships" name="Change Log" sheetId="11" r:id="R9e9fc4fef431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b/>
      <x:sz val="9"/>
      <x:color rgb="FF595959"/>
      <x:name val="Carlito"/>
    </x:font>
    <x:font>
      <x:b/>
      <x:sz val="10"/>
      <x:color rgb="FFFFFFFF"/>
      <x:name val="Carlito"/>
    </x:font>
    <x:font>
      <x:sz val="9"/>
      <x:color rgb="FF000000"/>
      <x:name val="Carlito"/>
    </x:font>
    <x:font>
      <x:b/>
      <x:sz val="14"/>
      <x:color rgb="FF17365D"/>
      <x:name val="Carlito"/>
    </x:font>
    <x:font>
      <x:b/>
      <x:sz val="9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6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be2b14a384d34" /><Relationship Type="http://schemas.openxmlformats.org/officeDocument/2006/relationships/theme" Target="/xl/theme/theme1.xml" Id="R1f4272bd1df74c41" /><Relationship Type="http://schemas.openxmlformats.org/officeDocument/2006/relationships/sharedStrings" Target="/xl/sharedStrings.xml" Id="R615ea9297fb24a7d" /><Relationship Type="http://schemas.openxmlformats.org/officeDocument/2006/relationships/worksheet" Target="/xl/worksheets/sheet1.xml" Id="Rb0ca90273ca14156" /><Relationship Type="http://schemas.openxmlformats.org/officeDocument/2006/relationships/worksheet" Target="/xl/worksheets/sheet2.xml" Id="Ra058ac44846e41af" /><Relationship Type="http://schemas.openxmlformats.org/officeDocument/2006/relationships/worksheet" Target="/xl/worksheets/sheet3.xml" Id="R1c57bb5169174246" /><Relationship Type="http://schemas.openxmlformats.org/officeDocument/2006/relationships/worksheet" Target="/xl/worksheets/sheet4.xml" Id="R7ff6163b5d5e4d64" /><Relationship Type="http://schemas.openxmlformats.org/officeDocument/2006/relationships/worksheet" Target="/xl/worksheets/sheet5.xml" Id="R9bb1aacdf4484ea8" /><Relationship Type="http://schemas.openxmlformats.org/officeDocument/2006/relationships/worksheet" Target="/xl/worksheets/sheet6.xml" Id="R19e578e90d7149f3" /><Relationship Type="http://schemas.openxmlformats.org/officeDocument/2006/relationships/worksheet" Target="/xl/worksheets/sheet7.xml" Id="Rb317b526a95a4d02" /><Relationship Type="http://schemas.openxmlformats.org/officeDocument/2006/relationships/worksheet" Target="/xl/worksheets/sheet8.xml" Id="R988a3ef191ee4c01" /><Relationship Type="http://schemas.openxmlformats.org/officeDocument/2006/relationships/worksheet" Target="/xl/worksheets/sheet9.xml" Id="R7c5dc183df394d0f" /><Relationship Type="http://schemas.openxmlformats.org/officeDocument/2006/relationships/worksheet" Target="/xl/worksheets/sheet10.xml" Id="R863dbdf9fa404c7e" /><Relationship Type="http://schemas.openxmlformats.org/officeDocument/2006/relationships/worksheet" Target="/xl/worksheets/sheet11.xml" Id="R9e9fc4fef4314b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302bedfd104072" /><Relationship Type="http://schemas.openxmlformats.org/officeDocument/2006/relationships/chart" Target="/xl/drawings/charts/chart2.xml" Id="Rc8f93b306ab845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Function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Functions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Iteration Completion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'Dashboard'!$F$9:$F$12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02bedfd10407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93b306ab845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rackingTable" displayName="ProjectTrackingTable" ref="A4:V94" headerRowCount="1">
  <x:tableColumns count="22">
    <x:tableColumn id="1" name="No."/>
    <x:tableColumn id="2" name="Work ID"/>
    <x:tableColumn id="3" name="Screen / Function"/>
    <x:tableColumn id="4" name="Feature"/>
    <x:tableColumn id="5" name="Function Type"/>
    <x:tableColumn id="6" name="Actor"/>
    <x:tableColumn id="7" name="Detailed Description"/>
    <x:tableColumn id="8" name="Business Rules / Validation"/>
    <x:tableColumn id="9" name="Acceptance Criteria"/>
    <x:tableColumn id="10" name="Planned Iteration"/>
    <x:tableColumn id="11" name="Actual Iteration"/>
    <x:tableColumn id="12" name="Updated Iteration"/>
    <x:tableColumn id="13" name="In Charge"/>
    <x:tableColumn id="14" name="Priority"/>
    <x:tableColumn id="15" name="Complexity"/>
    <x:tableColumn id="16" name="Target LOC Band"/>
    <x:tableColumn id="17" name="Status"/>
    <x:tableColumn id="18" name="SRS Ref"/>
    <x:tableColumn id="19" name="SDS Ref"/>
    <x:tableColumn id="20" name="Trace / Evidence ID"/>
    <x:tableColumn id="21" name="Risk / Update Notes"/>
    <x:tableColumn id="22" name="Audit Evidence Status"/>
  </x:tableColumns>
  <x:tableStyleInfo name="TableStyleMedium2" showRowStripes="1"/>
</x:table>
</file>

<file path=xl/tables/table2.xml><?xml version="1.0" encoding="utf-8"?>
<x:table xmlns:x="http://schemas.openxmlformats.org/spreadsheetml/2006/main" id="2" name="Iter1TrackingTable" displayName="Iter1TrackingTable" ref="A4:R29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ter2TrackingTable" displayName="Iter2TrackingTable" ref="A4:R24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ter3TrackingTable" displayName="Iter3TrackingTable" ref="A4:R27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ter4TrackingTable" displayName="Iter4TrackingTable" ref="A4:R26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GapAnalysisTable" displayName="GapAnalysisTable" ref="A4:M34" headerRowCount="1">
  <x:tableColumns count="13">
    <x:tableColumn id="1" name="Gap ID"/>
    <x:tableColumn id="2" name="Work ID"/>
    <x:tableColumn id="3" name="Workstream"/>
    <x:tableColumn id="4" name="Code-audit Finding"/>
    <x:tableColumn id="5" name="Required Closure Action"/>
    <x:tableColumn id="6" name="Owner"/>
    <x:tableColumn id="7" name="Priority"/>
    <x:tableColumn id="8" name="Status"/>
    <x:tableColumn id="9" name="Acceptance Criteria"/>
    <x:tableColumn id="10" name="Evidence Required"/>
    <x:tableColumn id="11" name="Blocking Impact"/>
    <x:tableColumn id="12" name="Target"/>
    <x:tableColumn id="13" name="Evidence State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4:J94" headerRowCount="1">
  <x:tableColumns count="10">
    <x:tableColumn id="1" name="Work ID"/>
    <x:tableColumn id="2" name="SRS Ref"/>
    <x:tableColumn id="3" name="SDS Ref"/>
    <x:tableColumn id="4" name="Expected UI / Route"/>
    <x:tableColumn id="5" name="Expected API / Service"/>
    <x:tableColumn id="6" name="Expected DB Object"/>
    <x:tableColumn id="7" name="Test Case ID"/>
    <x:tableColumn id="8" name="Evidence ID"/>
    <x:tableColumn id="9" name="Evidence Status"/>
    <x:tableColumn id="10" name="Verifica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dbc41d142849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ab79968e264b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2cbb9afbc24b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ed24a2c7194e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21641f63b646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670778ba7fd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d099da049c4f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193a2d0363c44da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6" hidden="0" customWidth="1"/>
    <x:col min="4" max="4" width="23" hidden="0" customWidth="1"/>
    <x:col min="5" max="5" width="20" hidden="0" customWidth="1"/>
    <x:col min="6" max="6" width="22" hidden="0" customWidth="1"/>
    <x:col min="7" max="7" width="42" hidden="0" customWidth="1"/>
    <x:col min="8" max="8" width="42" hidden="0" customWidth="1"/>
    <x:col min="9" max="9" width="42" hidden="0" customWidth="1"/>
    <x:col min="10" max="10" width="11" hidden="0" customWidth="1"/>
    <x:col min="11" max="11" width="11" hidden="0" customWidth="1"/>
    <x:col min="12" max="12" width="11" hidden="0" customWidth="1"/>
    <x:col min="13" max="13" width="27" hidden="0" customWidth="1"/>
    <x:col min="14" max="14" width="10" hidden="0" customWidth="1"/>
    <x:col min="15" max="15" width="10" hidden="0" customWidth="1"/>
    <x:col min="16" max="16" width="11" hidden="0" customWidth="1"/>
    <x:col min="17" max="17" width="12" hidden="0" customWidth="1"/>
    <x:col min="18" max="18" width="10" hidden="0" customWidth="1"/>
    <x:col min="19" max="19" width="10" hidden="0" customWidth="1"/>
    <x:col min="20" max="20" width="20" hidden="0" customWidth="1"/>
    <x:col min="21" max="21" width="38" hidden="0" customWidth="1"/>
    <x:col min="22" max="22" width="15" hidden="0" customWidth="1"/>
  </x:cols>
  <x:sheetData>
    <x:row r="1" ht="30" customHeight="1">
      <x:c r="A1" s="5" t="str">
        <x:v>RESTAURANT MANAGEMENT SYSTEM – FINAL EVALUATION PROJECT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8" customHeight="1">
      <x:c r="A2" s="13" t="str">
        <x:v>Class SE20A11 | Group 01 | Version 2.0 | 90 auditable screen/non-UI functions | Status is code-audit aligned and may be upgraded only when implementation, test, document, and evidence are verified.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34" customHeight="1">
      <x:c r="A3" s="21" t="str">
        <x:v>Audit rule: Done/Updated requires source code in the final tag, required database migration, secured API, real frontend integration, tests, matching SRS/SDS, and evidence (commit/tag, screenshots, Postman/test result, and database proof).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</x:row>
    <x:row r="4" ht="42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Function Type</x:v>
      </x:c>
      <x:c r="F4" s="30" t="str">
        <x:v>Actor</x:v>
      </x:c>
      <x:c r="G4" s="30" t="str">
        <x:v>Detailed Description</x:v>
      </x:c>
      <x:c r="H4" s="30" t="str">
        <x:v>Business Rules / Validation</x:v>
      </x:c>
      <x:c r="I4" s="30" t="str">
        <x:v>Acceptance Criteria</x:v>
      </x:c>
      <x:c r="J4" s="30" t="str">
        <x:v>Planned Iteration</x:v>
      </x:c>
      <x:c r="K4" s="30" t="str">
        <x:v>Actual Iteration</x:v>
      </x:c>
      <x:c r="L4" s="30" t="str">
        <x:v>Updated Iteration</x:v>
      </x:c>
      <x:c r="M4" s="30" t="str">
        <x:v>In Charge</x:v>
      </x:c>
      <x:c r="N4" s="30" t="str">
        <x:v>Priority</x:v>
      </x:c>
      <x:c r="O4" s="30" t="str">
        <x:v>Complexity</x:v>
      </x:c>
      <x:c r="P4" s="30" t="str">
        <x:v>Target LOC Band</x:v>
      </x:c>
      <x:c r="Q4" s="30" t="str">
        <x:v>Status</x:v>
      </x:c>
      <x:c r="R4" s="30" t="str">
        <x:v>SRS Ref</x:v>
      </x:c>
      <x:c r="S4" s="30" t="str">
        <x:v>SDS Ref</x:v>
      </x:c>
      <x:c r="T4" s="30" t="str">
        <x:v>Trace / Evidence ID</x:v>
      </x:c>
      <x:c r="U4" s="30" t="str">
        <x:v>Risk / Update Notes</x:v>
      </x:c>
      <x:c r="V4" s="30" t="str">
        <x:v>Audit Evidence Status</x:v>
      </x:c>
    </x:row>
    <x:row r="5" ht="64" customHeight="1">
      <x:c r="A5" s="38" t="n">
        <x:v>1</x:v>
      </x:c>
      <x:c r="B5" s="38" t="str">
        <x:v>AUTH-01</x:v>
      </x:c>
      <x:c r="C5" s="38" t="str">
        <x:v>Login Screen &amp; Client Validation</x:v>
      </x:c>
      <x:c r="D5" s="38" t="str">
        <x:v>Authentication &amp; Security</x:v>
      </x:c>
      <x:c r="E5" s="38" t="str">
        <x:v>UI Screen</x:v>
      </x:c>
      <x:c r="F5" s="38" t="str">
        <x:v>Guest, All Users</x:v>
      </x:c>
      <x:c r="G5" s="38" t="str">
        <x:v>Presents email/password fields, validates required format, shows field-level errors, and redirects authenticated users to the correct role workspace.</x:v>
      </x:c>
      <x:c r="H5" s="38" t="str">
        <x:v>Email is required and normalized; password is never exposed in logs; repeated submissions are prevented while a request is processing.</x:v>
      </x:c>
      <x:c r="I5" s="38" t="str">
        <x:v>Valid input submits once; invalid input remains on screen with clear messages; successful login redirects by role without exposing credentials.</x:v>
      </x:c>
      <x:c r="J5" s="38" t="str">
        <x:v>Iter1</x:v>
      </x:c>
      <x:c r="K5" s="38" t="str">
        <x:v>Iter1</x:v>
      </x:c>
      <x:c r="L5" s="38" t="str">
        <x:v>none</x:v>
      </x:c>
      <x:c r="M5" s="38" t="str">
        <x:v>Nguyễn Đức Thương (DE190096)</x:v>
      </x:c>
      <x:c r="N5" s="38" t="str">
        <x:v>High</x:v>
      </x:c>
      <x:c r="O5" s="38" t="str">
        <x:v>Medium</x:v>
      </x:c>
      <x:c r="P5" s="38" t="n">
        <x:v>120</x:v>
      </x:c>
      <x:c r="Q5" s="38" t="str">
        <x:v>Done</x:v>
      </x:c>
      <x:c r="R5" s="38" t="str">
        <x:v>II.1.1</x:v>
      </x:c>
      <x:c r="S5" s="38" t="str">
        <x:v>II.1.1</x:v>
      </x:c>
      <x:c r="T5" s="38" t="str">
        <x:v>EV-AUTH-01 / TC-AUTH-01</x:v>
      </x:c>
      <x:c r="U5" s="38" t="str">
        <x:v>UI flow is available and connected to the authentication request.</x:v>
      </x:c>
      <x:c r="V5" s="38" t="str">
        <x:v>Verified</x:v>
      </x:c>
    </x:row>
    <x:row r="6" ht="64" customHeight="1">
      <x:c r="A6" s="38" t="n">
        <x:v>2</x:v>
      </x:c>
      <x:c r="B6" s="38" t="str">
        <x:v>AUTH-02</x:v>
      </x:c>
      <x:c r="C6" s="38" t="str">
        <x:v>Credential Authentication API</x:v>
      </x:c>
      <x:c r="D6" s="38" t="str">
        <x:v>Authentication &amp; Security</x:v>
      </x:c>
      <x:c r="E6" s="38" t="str">
        <x:v>Backend API</x:v>
      </x:c>
      <x:c r="F6" s="38" t="str">
        <x:v>Guest</x:v>
      </x:c>
      <x:c r="G6" s="38" t="str">
        <x:v>Authenticates a submitted email and password against an active user account and returns a standardized success or failure response.</x:v>
      </x:c>
      <x:c r="H6" s="38" t="str">
        <x:v>Inactive/locked accounts cannot log in; comparisons use encoded passwords; authentication failures must not reveal whether an email exists.</x:v>
      </x:c>
      <x:c r="I6" s="38" t="str">
        <x:v>Correct credentials succeed; wrong password, unknown email, and inactive account return safe errors; API contract is covered by tests.</x:v>
      </x:c>
      <x:c r="J6" s="38" t="str">
        <x:v>Iter1</x:v>
      </x:c>
      <x:c r="K6" s="38" t="str">
        <x:v>Iter1</x:v>
      </x:c>
      <x:c r="L6" s="38" t="str">
        <x:v>none</x:v>
      </x:c>
      <x:c r="M6" s="38" t="str">
        <x:v>Phạm Văn Quyết (DE190425)</x:v>
      </x:c>
      <x:c r="N6" s="38" t="str">
        <x:v>Critical</x:v>
      </x:c>
      <x:c r="O6" s="38" t="str">
        <x:v>Complex</x:v>
      </x:c>
      <x:c r="P6" s="38" t="n">
        <x:v>240</x:v>
      </x:c>
      <x:c r="Q6" s="38" t="str">
        <x:v>Done</x:v>
      </x:c>
      <x:c r="R6" s="38" t="str">
        <x:v>II.1.2</x:v>
      </x:c>
      <x:c r="S6" s="38" t="str">
        <x:v>II.1.2</x:v>
      </x:c>
      <x:c r="T6" s="38" t="str">
        <x:v>EV-AUTH-02 / TC-AUTH-02</x:v>
      </x:c>
      <x:c r="U6" s="38" t="str">
        <x:v>Core credential authentication is implemented; token hardening is tracked separately.</x:v>
      </x:c>
      <x:c r="V6" s="38" t="str">
        <x:v>Verified</x:v>
      </x:c>
    </x:row>
    <x:row r="7" ht="64" customHeight="1">
      <x:c r="A7" s="38" t="n">
        <x:v>3</x:v>
      </x:c>
      <x:c r="B7" s="38" t="str">
        <x:v>AUTH-03</x:v>
      </x:c>
      <x:c r="C7" s="38" t="str">
        <x:v>Password Hashing &amp; Credential Verification</x:v>
      </x:c>
      <x:c r="D7" s="38" t="str">
        <x:v>Authentication &amp; Security</x:v>
      </x:c>
      <x:c r="E7" s="38" t="str">
        <x:v>Security Service</x:v>
      </x:c>
      <x:c r="F7" s="38" t="str">
        <x:v>Guest, All Users</x:v>
      </x:c>
      <x:c r="G7" s="38" t="str">
        <x:v>Encodes passwords before persistence and verifies credentials through the configured password encoder.</x:v>
      </x:c>
      <x:c r="H7" s="38" t="str">
        <x:v>Plaintext passwords must never be stored or returned; encoding configuration is consistent across registration, reset, and login.</x:v>
      </x:c>
      <x:c r="I7" s="38" t="str">
        <x:v>Database contains only encoded passwords; registration/reset/login use the same encoder; negative password tests pass.</x:v>
      </x:c>
      <x:c r="J7" s="38" t="str">
        <x:v>Iter1</x:v>
      </x:c>
      <x:c r="K7" s="38" t="str">
        <x:v>Iter1</x:v>
      </x:c>
      <x:c r="L7" s="38" t="str">
        <x:v>none</x:v>
      </x:c>
      <x:c r="M7" s="38" t="str">
        <x:v>Phạm Văn Quyết (DE190425)</x:v>
      </x:c>
      <x:c r="N7" s="38" t="str">
        <x:v>Critical</x:v>
      </x:c>
      <x:c r="O7" s="38" t="str">
        <x:v>Medium</x:v>
      </x:c>
      <x:c r="P7" s="38" t="n">
        <x:v>120</x:v>
      </x:c>
      <x:c r="Q7" s="38" t="str">
        <x:v>Done</x:v>
      </x:c>
      <x:c r="R7" s="38" t="str">
        <x:v>II.1.3</x:v>
      </x:c>
      <x:c r="S7" s="38" t="str">
        <x:v>II.1.3</x:v>
      </x:c>
      <x:c r="T7" s="38" t="str">
        <x:v>EV-AUTH-03 / TC-AUTH-03</x:v>
      </x:c>
      <x:c r="U7" s="38" t="str">
        <x:v>Security review must confirm no plaintext values in logs or seed scripts.</x:v>
      </x:c>
      <x:c r="V7" s="38" t="str">
        <x:v>Verified</x:v>
      </x:c>
    </x:row>
    <x:row r="8" ht="64" customHeight="1">
      <x:c r="A8" s="38" t="n">
        <x:v>4</x:v>
      </x:c>
      <x:c r="B8" s="38" t="str">
        <x:v>AUTH-04</x:v>
      </x:c>
      <x:c r="C8" s="38" t="str">
        <x:v>JWT Access Token Generation</x:v>
      </x:c>
      <x:c r="D8" s="38" t="str">
        <x:v>Authentication &amp; Security</x:v>
      </x:c>
      <x:c r="E8" s="38" t="str">
        <x:v>Security Service</x:v>
      </x:c>
      <x:c r="F8" s="38" t="str">
        <x:v>Authenticated Users</x:v>
      </x:c>
      <x:c r="G8" s="38" t="str">
        <x:v>Creates a signed access token containing the user identity, role claims, issue time, and expiration after successful authentication.</x:v>
      </x:c>
      <x:c r="H8" s="38" t="str">
        <x:v>Signing key is externalized; token lifetime is configurable; only required non-sensitive claims are included.</x:v>
      </x:c>
      <x:c r="I8" s="38" t="str">
        <x:v>A valid login returns a signed token; signature and expiration can be verified; tampered tokens are rejected.</x:v>
      </x:c>
      <x:c r="J8" s="38" t="str">
        <x:v>Iter1</x:v>
      </x:c>
      <x:c r="K8" s="38" t="str">
        <x:v>Iter1</x:v>
      </x:c>
      <x:c r="L8" s="38" t="str">
        <x:v>Iter4</x:v>
      </x:c>
      <x:c r="M8" s="38" t="str">
        <x:v>Phạm Văn Quyết (DE190425)</x:v>
      </x:c>
      <x:c r="N8" s="38" t="str">
        <x:v>Critical</x:v>
      </x:c>
      <x:c r="O8" s="38" t="str">
        <x:v>Complex</x:v>
      </x:c>
      <x:c r="P8" s="38" t="n">
        <x:v>240</x:v>
      </x:c>
      <x:c r="Q8" s="38" t="str">
        <x:v>Doing</x:v>
      </x:c>
      <x:c r="R8" s="38" t="str">
        <x:v>II.1.4</x:v>
      </x:c>
      <x:c r="S8" s="38" t="str">
        <x:v>II.1.4</x:v>
      </x:c>
      <x:c r="T8" s="38" t="str">
        <x:v>EV-AUTH-04 / TC-AUTH-04</x:v>
      </x:c>
      <x:c r="U8" s="38" t="str">
        <x:v>Token generation is incomplete and must be finalized before the final release tag.</x:v>
      </x:c>
      <x:c r="V8" s="38" t="str">
        <x:v>Partial</x:v>
      </x:c>
    </x:row>
    <x:row r="9" ht="64" customHeight="1">
      <x:c r="A9" s="38" t="n">
        <x:v>5</x:v>
      </x:c>
      <x:c r="B9" s="38" t="str">
        <x:v>AUTH-05</x:v>
      </x:c>
      <x:c r="C9" s="38" t="str">
        <x:v>JWT Refresh Token Persistence</x:v>
      </x:c>
      <x:c r="D9" s="38" t="str">
        <x:v>Authentication &amp; Security</x:v>
      </x:c>
      <x:c r="E9" s="38" t="str">
        <x:v>Backend Service / DB</x:v>
      </x:c>
      <x:c r="F9" s="38" t="str">
        <x:v>Authenticated Users</x:v>
      </x:c>
      <x:c r="G9" s="38" t="str">
        <x:v>Stores refresh-token hashes and lifecycle metadata so an expired access token can be renewed without re-entering credentials.</x:v>
      </x:c>
      <x:c r="H9" s="38" t="str">
        <x:v>Refresh tokens are one-way hashed, revocable, unique, time-limited, and bound to a user account.</x:v>
      </x:c>
      <x:c r="I9" s="38" t="str">
        <x:v>Valid refresh creates a new access token; expired/revoked/reused tokens fail; raw refresh tokens are not persisted.</x:v>
      </x:c>
      <x:c r="J9" s="38" t="str">
        <x:v>Iter1</x:v>
      </x:c>
      <x:c r="K9" s="38" t="str">
        <x:v>none</x:v>
      </x:c>
      <x:c r="L9" s="38" t="str">
        <x:v>none</x:v>
      </x:c>
      <x:c r="M9" s="38" t="str">
        <x:v>Phạm Văn Quyết (DE190425)</x:v>
      </x:c>
      <x:c r="N9" s="38" t="str">
        <x:v>Critical</x:v>
      </x:c>
      <x:c r="O9" s="38" t="str">
        <x:v>Complex</x:v>
      </x:c>
      <x:c r="P9" s="38" t="n">
        <x:v>240</x:v>
      </x:c>
      <x:c r="Q9" s="38" t="str">
        <x:v>Not Started</x:v>
      </x:c>
      <x:c r="R9" s="38" t="str">
        <x:v>II.1.5</x:v>
      </x:c>
      <x:c r="S9" s="38" t="str">
        <x:v>II.1.5</x:v>
      </x:c>
      <x:c r="T9" s="38" t="str">
        <x:v>EV-AUTH-05 / TC-AUTH-05</x:v>
      </x:c>
      <x:c r="U9" s="38" t="str">
        <x:v>Required database migration, entity, repository, service, and tests are missing.</x:v>
      </x:c>
      <x:c r="V9" s="38" t="str">
        <x:v>Missing</x:v>
      </x:c>
    </x:row>
    <x:row r="10" ht="64" customHeight="1">
      <x:c r="A10" s="38" t="n">
        <x:v>6</x:v>
      </x:c>
      <x:c r="B10" s="38" t="str">
        <x:v>AUTH-06</x:v>
      </x:c>
      <x:c r="C10" s="38" t="str">
        <x:v>JWT Authentication Filter</x:v>
      </x:c>
      <x:c r="D10" s="38" t="str">
        <x:v>Authentication &amp; Security</x:v>
      </x:c>
      <x:c r="E10" s="38" t="str">
        <x:v>Security Filter</x:v>
      </x:c>
      <x:c r="F10" s="38" t="str">
        <x:v>Authenticated Users</x:v>
      </x:c>
      <x:c r="G10" s="38" t="str">
        <x:v>Reads the bearer token on every protected request, validates it, and populates the authenticated security context.</x:v>
      </x:c>
      <x:c r="H10" s="38" t="str">
        <x:v>Public endpoints bypass authentication; malformed headers and invalid tokens do not create a security context.</x:v>
      </x:c>
      <x:c r="I10" s="38" t="str">
        <x:v>Protected requests with valid tokens reach controllers; missing/invalid/expired tokens return 401; public routes remain accessible.</x:v>
      </x:c>
      <x:c r="J10" s="38" t="str">
        <x:v>Iter1</x:v>
      </x:c>
      <x:c r="K10" s="38" t="str">
        <x:v>Iter1</x:v>
      </x:c>
      <x:c r="L10" s="38" t="str">
        <x:v>Iter4</x:v>
      </x:c>
      <x:c r="M10" s="38" t="str">
        <x:v>Phạm Văn Quyết (DE190425)</x:v>
      </x:c>
      <x:c r="N10" s="38" t="str">
        <x:v>Critical</x:v>
      </x:c>
      <x:c r="O10" s="38" t="str">
        <x:v>Complex</x:v>
      </x:c>
      <x:c r="P10" s="38" t="n">
        <x:v>240</x:v>
      </x:c>
      <x:c r="Q10" s="38" t="str">
        <x:v>Doing</x:v>
      </x:c>
      <x:c r="R10" s="38" t="str">
        <x:v>II.1.6</x:v>
      </x:c>
      <x:c r="S10" s="38" t="str">
        <x:v>II.1.6</x:v>
      </x:c>
      <x:c r="T10" s="38" t="str">
        <x:v>EV-AUTH-06 / TC-AUTH-06</x:v>
      </x:c>
      <x:c r="U10" s="38" t="str">
        <x:v>Filter and integration tests are incomplete.</x:v>
      </x:c>
      <x:c r="V10" s="38" t="str">
        <x:v>Partial</x:v>
      </x:c>
    </x:row>
    <x:row r="11" ht="64" customHeight="1">
      <x:c r="A11" s="38" t="n">
        <x:v>7</x:v>
      </x:c>
      <x:c r="B11" s="38" t="str">
        <x:v>AUTH-07</x:v>
      </x:c>
      <x:c r="C11" s="38" t="str">
        <x:v>Token Expiry &amp; Invalid Token Handling</x:v>
      </x:c>
      <x:c r="D11" s="38" t="str">
        <x:v>Authentication &amp; Security</x:v>
      </x:c>
      <x:c r="E11" s="38" t="str">
        <x:v>Exception Handling</x:v>
      </x:c>
      <x:c r="F11" s="38" t="str">
        <x:v>Authenticated Users</x:v>
      </x:c>
      <x:c r="G11" s="38" t="str">
        <x:v>Returns consistent error responses for expired, malformed, unsupported, or incorrectly signed tokens.</x:v>
      </x:c>
      <x:c r="H11" s="38" t="str">
        <x:v>Security errors use the common API error format; sensitive token details are not logged or returned.</x:v>
      </x:c>
      <x:c r="I11" s="38" t="str">
        <x:v>Each invalid-token scenario returns the expected HTTP status and message; frontend can distinguish expiry from authorization failure.</x:v>
      </x:c>
      <x:c r="J11" s="38" t="str">
        <x:v>Iter1</x:v>
      </x:c>
      <x:c r="K11" s="38" t="str">
        <x:v>Iter1</x:v>
      </x:c>
      <x:c r="L11" s="38" t="str">
        <x:v>Iter4</x:v>
      </x:c>
      <x:c r="M11" s="38" t="str">
        <x:v>Phạm Văn Quyết (DE190425)</x:v>
      </x:c>
      <x:c r="N11" s="38" t="str">
        <x:v>Critical</x:v>
      </x:c>
      <x:c r="O11" s="38" t="str">
        <x:v>Medium</x:v>
      </x:c>
      <x:c r="P11" s="38" t="n">
        <x:v>120</x:v>
      </x:c>
      <x:c r="Q11" s="38" t="str">
        <x:v>Doing</x:v>
      </x:c>
      <x:c r="R11" s="38" t="str">
        <x:v>II.1.7</x:v>
      </x:c>
      <x:c r="S11" s="38" t="str">
        <x:v>II.1.7</x:v>
      </x:c>
      <x:c r="T11" s="38" t="str">
        <x:v>EV-AUTH-07 / TC-AUTH-07</x:v>
      </x:c>
      <x:c r="U11" s="38" t="str">
        <x:v>Standard exception mapping remains incomplete.</x:v>
      </x:c>
      <x:c r="V11" s="38" t="str">
        <x:v>Partial</x:v>
      </x:c>
    </x:row>
    <x:row r="12" ht="64" customHeight="1">
      <x:c r="A12" s="38" t="n">
        <x:v>8</x:v>
      </x:c>
      <x:c r="B12" s="38" t="str">
        <x:v>AUTH-08</x:v>
      </x:c>
      <x:c r="C12" s="38" t="str">
        <x:v>Endpoint Role Authorization Matrix</x:v>
      </x:c>
      <x:c r="D12" s="38" t="str">
        <x:v>Authentication &amp; Security</x:v>
      </x:c>
      <x:c r="E12" s="38" t="str">
        <x:v>Authorization Policy</x:v>
      </x:c>
      <x:c r="F12" s="38" t="str">
        <x:v>Admin, Staff, Kitchen Staff, Customer</x:v>
      </x:c>
      <x:c r="G12" s="38" t="str">
        <x:v>Defines explicit access rules for all protected API groups and matches them with frontend role navigation.</x:v>
      </x:c>
      <x:c r="H12" s="38" t="str">
        <x:v>Admin-only write APIs reject non-admins; users may access only owned resources; deny-by-default applies to unmatched protected routes.</x:v>
      </x:c>
      <x:c r="I12" s="38" t="str">
        <x:v>Authorization tests prove 401 for unauthenticated and 403 for wrong-role requests across representative endpoints.</x:v>
      </x:c>
      <x:c r="J12" s="38" t="str">
        <x:v>Iter1</x:v>
      </x:c>
      <x:c r="K12" s="38" t="str">
        <x:v>Iter1</x:v>
      </x:c>
      <x:c r="L12" s="38" t="str">
        <x:v>Iter4</x:v>
      </x:c>
      <x:c r="M12" s="38" t="str">
        <x:v>Phạm Văn Quyết (DE190425)</x:v>
      </x:c>
      <x:c r="N12" s="38" t="str">
        <x:v>Critical</x:v>
      </x:c>
      <x:c r="O12" s="38" t="str">
        <x:v>Complex</x:v>
      </x:c>
      <x:c r="P12" s="38" t="n">
        <x:v>240</x:v>
      </x:c>
      <x:c r="Q12" s="38" t="str">
        <x:v>Doing</x:v>
      </x:c>
      <x:c r="R12" s="38" t="str">
        <x:v>II.1.8</x:v>
      </x:c>
      <x:c r="S12" s="38" t="str">
        <x:v>II.1.8</x:v>
      </x:c>
      <x:c r="T12" s="38" t="str">
        <x:v>EV-AUTH-08 / TC-AUTH-08</x:v>
      </x:c>
      <x:c r="U12" s="38" t="str">
        <x:v>SecurityConfig is currently too permissive and needs a complete endpoint matrix.</x:v>
      </x:c>
      <x:c r="V12" s="38" t="str">
        <x:v>Partial</x:v>
      </x:c>
    </x:row>
    <x:row r="13" ht="64" customHeight="1">
      <x:c r="A13" s="38" t="n">
        <x:v>9</x:v>
      </x:c>
      <x:c r="B13" s="38" t="str">
        <x:v>AUTH-09</x:v>
      </x:c>
      <x:c r="C13" s="38" t="str">
        <x:v>Standard 401/403 Security Responses</x:v>
      </x:c>
      <x:c r="D13" s="38" t="str">
        <x:v>Authentication &amp; Security</x:v>
      </x:c>
      <x:c r="E13" s="38" t="str">
        <x:v>Exception Handling</x:v>
      </x:c>
      <x:c r="F13" s="38" t="str">
        <x:v>All Users</x:v>
      </x:c>
      <x:c r="G13" s="38" t="str">
        <x:v>Converts authentication and authorization failures into predictable JSON responses consumed by the frontend.</x:v>
      </x:c>
      <x:c r="H13" s="38" t="str">
        <x:v>401 is used for missing/invalid authentication; 403 is used for authenticated users without permission.</x:v>
      </x:c>
      <x:c r="I13" s="38" t="str">
        <x:v>Frontend receives stable error codes/messages; no HTML error page is returned by secured APIs; tests cover both statuses.</x:v>
      </x:c>
      <x:c r="J13" s="38" t="str">
        <x:v>Iter1</x:v>
      </x:c>
      <x:c r="K13" s="38" t="str">
        <x:v>Iter1</x:v>
      </x:c>
      <x:c r="L13" s="38" t="str">
        <x:v>Iter4</x:v>
      </x:c>
      <x:c r="M13" s="38" t="str">
        <x:v>Nguyễn Đức Thương (DE190096)</x:v>
      </x:c>
      <x:c r="N13" s="38" t="str">
        <x:v>High</x:v>
      </x:c>
      <x:c r="O13" s="38" t="str">
        <x:v>Medium</x:v>
      </x:c>
      <x:c r="P13" s="38" t="n">
        <x:v>120</x:v>
      </x:c>
      <x:c r="Q13" s="38" t="str">
        <x:v>Doing</x:v>
      </x:c>
      <x:c r="R13" s="38" t="str">
        <x:v>II.1.9</x:v>
      </x:c>
      <x:c r="S13" s="38" t="str">
        <x:v>II.1.9</x:v>
      </x:c>
      <x:c r="T13" s="38" t="str">
        <x:v>EV-AUTH-09 / TC-AUTH-09</x:v>
      </x:c>
      <x:c r="U13" s="38" t="str">
        <x:v>Must align with the global API response convention.</x:v>
      </x:c>
      <x:c r="V13" s="38" t="str">
        <x:v>Partial</x:v>
      </x:c>
    </x:row>
    <x:row r="14" ht="64" customHeight="1">
      <x:c r="A14" s="38" t="n">
        <x:v>10</x:v>
      </x:c>
      <x:c r="B14" s="38" t="str">
        <x:v>AUTH-10</x:v>
      </x:c>
      <x:c r="C14" s="38" t="str">
        <x:v>Logout &amp; Token Revocation</x:v>
      </x:c>
      <x:c r="D14" s="38" t="str">
        <x:v>Authentication &amp; Security</x:v>
      </x:c>
      <x:c r="E14" s="38" t="str">
        <x:v>Backend API</x:v>
      </x:c>
      <x:c r="F14" s="38" t="str">
        <x:v>Authenticated Users</x:v>
      </x:c>
      <x:c r="G14" s="38" t="str">
        <x:v>Ends an authenticated session by revoking the current refresh token and clearing client authentication state.</x:v>
      </x:c>
      <x:c r="H14" s="38" t="str">
        <x:v>Revoked tokens cannot be reused; logout is idempotent; client removes access and refresh credentials.</x:v>
      </x:c>
      <x:c r="I14" s="38" t="str">
        <x:v>After logout, refresh fails and protected requests require a new login; repeated logout requests do not create errors.</x:v>
      </x:c>
      <x:c r="J14" s="38" t="str">
        <x:v>Iter1</x:v>
      </x:c>
      <x:c r="K14" s="38" t="str">
        <x:v>none</x:v>
      </x:c>
      <x:c r="L14" s="38" t="str">
        <x:v>none</x:v>
      </x:c>
      <x:c r="M14" s="38" t="str">
        <x:v>Phạm Văn Quyết (DE190425)</x:v>
      </x:c>
      <x:c r="N14" s="38" t="str">
        <x:v>High</x:v>
      </x:c>
      <x:c r="O14" s="38" t="str">
        <x:v>Medium</x:v>
      </x:c>
      <x:c r="P14" s="38" t="n">
        <x:v>120</x:v>
      </x:c>
      <x:c r="Q14" s="38" t="str">
        <x:v>Not Started</x:v>
      </x:c>
      <x:c r="R14" s="38" t="str">
        <x:v>II.1.10</x:v>
      </x:c>
      <x:c r="S14" s="38" t="str">
        <x:v>II.1.10</x:v>
      </x:c>
      <x:c r="T14" s="38" t="str">
        <x:v>EV-AUTH-10 / TC-AUTH-10</x:v>
      </x:c>
      <x:c r="U14" s="38" t="str">
        <x:v>Depends on refresh-token persistence.</x:v>
      </x:c>
      <x:c r="V14" s="38" t="str">
        <x:v>Missing</x:v>
      </x:c>
    </x:row>
    <x:row r="15" ht="64" customHeight="1">
      <x:c r="A15" s="38" t="n">
        <x:v>11</x:v>
      </x:c>
      <x:c r="B15" s="38" t="str">
        <x:v>AUTH-11</x:v>
      </x:c>
      <x:c r="C15" s="38" t="str">
        <x:v>Registration Screen &amp; Validation</x:v>
      </x:c>
      <x:c r="D15" s="38" t="str">
        <x:v>Authentication &amp; Security</x:v>
      </x:c>
      <x:c r="E15" s="38" t="str">
        <x:v>UI Screen</x:v>
      </x:c>
      <x:c r="F15" s="38" t="str">
        <x:v>Guest</x:v>
      </x:c>
      <x:c r="G15" s="38" t="str">
        <x:v>Collects customer account information, validates required fields and password confirmation, and displays API validation errors.</x:v>
      </x:c>
      <x:c r="H15" s="38" t="str">
        <x:v>Email format and required profile fields are validated; password confirmation must match; submit is disabled while processing.</x:v>
      </x:c>
      <x:c r="I15" s="38" t="str">
        <x:v>Valid data creates an account; invalid fields show messages; duplicate email feedback is shown without page crash.</x:v>
      </x:c>
      <x:c r="J15" s="38" t="str">
        <x:v>Iter1</x:v>
      </x:c>
      <x:c r="K15" s="38" t="str">
        <x:v>Iter1</x:v>
      </x:c>
      <x:c r="L15" s="38" t="str">
        <x:v>none</x:v>
      </x:c>
      <x:c r="M15" s="38" t="str">
        <x:v>Phan Nguyễn (DE191019)</x:v>
      </x:c>
      <x:c r="N15" s="38" t="str">
        <x:v>High</x:v>
      </x:c>
      <x:c r="O15" s="38" t="str">
        <x:v>Medium</x:v>
      </x:c>
      <x:c r="P15" s="38" t="n">
        <x:v>120</x:v>
      </x:c>
      <x:c r="Q15" s="38" t="str">
        <x:v>Done</x:v>
      </x:c>
      <x:c r="R15" s="38" t="str">
        <x:v>II.1.11</x:v>
      </x:c>
      <x:c r="S15" s="38" t="str">
        <x:v>II.1.11</x:v>
      </x:c>
      <x:c r="T15" s="38" t="str">
        <x:v>EV-AUTH-11 / TC-AUTH-11</x:v>
      </x:c>
      <x:c r="U15" s="38" t="str">
        <x:v>Completed and integrated.</x:v>
      </x:c>
      <x:c r="V15" s="38" t="str">
        <x:v>Verified</x:v>
      </x:c>
    </x:row>
    <x:row r="16" ht="64" customHeight="1">
      <x:c r="A16" s="38" t="n">
        <x:v>12</x:v>
      </x:c>
      <x:c r="B16" s="38" t="str">
        <x:v>AUTH-12</x:v>
      </x:c>
      <x:c r="C16" s="38" t="str">
        <x:v>Registration API &amp; Duplicate Email Check</x:v>
      </x:c>
      <x:c r="D16" s="38" t="str">
        <x:v>Authentication &amp; Security</x:v>
      </x:c>
      <x:c r="E16" s="38" t="str">
        <x:v>Backend API</x:v>
      </x:c>
      <x:c r="F16" s="38" t="str">
        <x:v>Guest</x:v>
      </x:c>
      <x:c r="G16" s="38" t="str">
        <x:v>Creates a customer account with the default role after validating input and uniqueness constraints.</x:v>
      </x:c>
      <x:c r="H16" s="38" t="str">
        <x:v>Email is unique case-insensitively; password is encoded; clients cannot self-assign privileged roles.</x:v>
      </x:c>
      <x:c r="I16" s="38" t="str">
        <x:v>New account is persisted with customer role; duplicate email and invalid input are rejected; tests verify role protection.</x:v>
      </x:c>
      <x:c r="J16" s="38" t="str">
        <x:v>Iter1</x:v>
      </x:c>
      <x:c r="K16" s="38" t="str">
        <x:v>Iter1</x:v>
      </x:c>
      <x:c r="L16" s="38" t="str">
        <x:v>none</x:v>
      </x:c>
      <x:c r="M16" s="38" t="str">
        <x:v>Phan Nguyễn (DE191019)</x:v>
      </x:c>
      <x:c r="N16" s="38" t="str">
        <x:v>High</x:v>
      </x:c>
      <x:c r="O16" s="38" t="str">
        <x:v>Complex</x:v>
      </x:c>
      <x:c r="P16" s="38" t="n">
        <x:v>240</x:v>
      </x:c>
      <x:c r="Q16" s="38" t="str">
        <x:v>Done</x:v>
      </x:c>
      <x:c r="R16" s="38" t="str">
        <x:v>II.1.12</x:v>
      </x:c>
      <x:c r="S16" s="38" t="str">
        <x:v>II.1.12</x:v>
      </x:c>
      <x:c r="T16" s="38" t="str">
        <x:v>EV-AUTH-12 / TC-AUTH-12</x:v>
      </x:c>
      <x:c r="U16" s="38" t="str">
        <x:v>Database constraint and service validation must remain consistent.</x:v>
      </x:c>
      <x:c r="V16" s="38" t="str">
        <x:v>Verified</x:v>
      </x:c>
    </x:row>
    <x:row r="17" ht="64" customHeight="1">
      <x:c r="A17" s="38" t="n">
        <x:v>13</x:v>
      </x:c>
      <x:c r="B17" s="38" t="str">
        <x:v>AUTH-13</x:v>
      </x:c>
      <x:c r="C17" s="38" t="str">
        <x:v>Forgot Password Request</x:v>
      </x:c>
      <x:c r="D17" s="38" t="str">
        <x:v>Authentication &amp; Security</x:v>
      </x:c>
      <x:c r="E17" s="38" t="str">
        <x:v>UI / Backend API</x:v>
      </x:c>
      <x:c r="F17" s="38" t="str">
        <x:v>Guest</x:v>
      </x:c>
      <x:c r="G17" s="38" t="str">
        <x:v>Allows a user to request a reset token or code without revealing whether the submitted email is registered.</x:v>
      </x:c>
      <x:c r="H17" s="38" t="str">
        <x:v>Response is generic; reset tokens expire and are single-purpose; request rate should be limited.</x:v>
      </x:c>
      <x:c r="I17" s="38" t="str">
        <x:v>Request always returns a safe response; valid accounts receive a usable reset token/code; repeated abuse is handled.</x:v>
      </x:c>
      <x:c r="J17" s="38" t="str">
        <x:v>Iter1</x:v>
      </x:c>
      <x:c r="K17" s="38" t="str">
        <x:v>Iter1</x:v>
      </x:c>
      <x:c r="L17" s="38" t="str">
        <x:v>none</x:v>
      </x:c>
      <x:c r="M17" s="38" t="str">
        <x:v>Nguyễn Đức Thương (DE190096)</x:v>
      </x:c>
      <x:c r="N17" s="38" t="str">
        <x:v>Medium</x:v>
      </x:c>
      <x:c r="O17" s="38" t="str">
        <x:v>Complex</x:v>
      </x:c>
      <x:c r="P17" s="38" t="n">
        <x:v>240</x:v>
      </x:c>
      <x:c r="Q17" s="38" t="str">
        <x:v>Done</x:v>
      </x:c>
      <x:c r="R17" s="38" t="str">
        <x:v>II.1.13</x:v>
      </x:c>
      <x:c r="S17" s="38" t="str">
        <x:v>II.1.13</x:v>
      </x:c>
      <x:c r="T17" s="38" t="str">
        <x:v>EV-AUTH-13 / TC-AUTH-13</x:v>
      </x:c>
      <x:c r="U17" s="38" t="str">
        <x:v>Implemented; final evidence should include valid and unknown email cases.</x:v>
      </x:c>
      <x:c r="V17" s="38" t="str">
        <x:v>Verified</x:v>
      </x:c>
    </x:row>
    <x:row r="18" ht="64" customHeight="1">
      <x:c r="A18" s="38" t="n">
        <x:v>14</x:v>
      </x:c>
      <x:c r="B18" s="38" t="str">
        <x:v>AUTH-14</x:v>
      </x:c>
      <x:c r="C18" s="38" t="str">
        <x:v>Reset Password Token Validation</x:v>
      </x:c>
      <x:c r="D18" s="38" t="str">
        <x:v>Authentication &amp; Security</x:v>
      </x:c>
      <x:c r="E18" s="38" t="str">
        <x:v>Backend API</x:v>
      </x:c>
      <x:c r="F18" s="38" t="str">
        <x:v>Guest</x:v>
      </x:c>
      <x:c r="G18" s="38" t="str">
        <x:v>Validates the reset token/code, saves a new encoded password, and invalidates the token after successful use.</x:v>
      </x:c>
      <x:c r="H18" s="38" t="str">
        <x:v>Expired, invalid, or reused tokens are rejected; new password rules and confirmation are enforced.</x:v>
      </x:c>
      <x:c r="I18" s="38" t="str">
        <x:v>Valid token updates the password once; old password stops working; expired/reused token tests pass.</x:v>
      </x:c>
      <x:c r="J18" s="38" t="str">
        <x:v>Iter1</x:v>
      </x:c>
      <x:c r="K18" s="38" t="str">
        <x:v>Iter1</x:v>
      </x:c>
      <x:c r="L18" s="38" t="str">
        <x:v>none</x:v>
      </x:c>
      <x:c r="M18" s="38" t="str">
        <x:v>Phạm Văn Quyết (DE190425)</x:v>
      </x:c>
      <x:c r="N18" s="38" t="str">
        <x:v>High</x:v>
      </x:c>
      <x:c r="O18" s="38" t="str">
        <x:v>Complex</x:v>
      </x:c>
      <x:c r="P18" s="38" t="n">
        <x:v>240</x:v>
      </x:c>
      <x:c r="Q18" s="38" t="str">
        <x:v>Done</x:v>
      </x:c>
      <x:c r="R18" s="38" t="str">
        <x:v>II.1.14</x:v>
      </x:c>
      <x:c r="S18" s="38" t="str">
        <x:v>II.1.14</x:v>
      </x:c>
      <x:c r="T18" s="38" t="str">
        <x:v>EV-AUTH-14 / TC-AUTH-14</x:v>
      </x:c>
      <x:c r="U18" s="38" t="str">
        <x:v>Positive and negative token cases are included.</x:v>
      </x:c>
      <x:c r="V18" s="38" t="str">
        <x:v>Verified</x:v>
      </x:c>
    </x:row>
    <x:row r="19" ht="64" customHeight="1">
      <x:c r="A19" s="38" t="n">
        <x:v>15</x:v>
      </x:c>
      <x:c r="B19" s="38" t="str">
        <x:v>USER-01</x:v>
      </x:c>
      <x:c r="C19" s="38" t="str">
        <x:v>View Own Profile</x:v>
      </x:c>
      <x:c r="D19" s="38" t="str">
        <x:v>User Management</x:v>
      </x:c>
      <x:c r="E19" s="38" t="str">
        <x:v>UI / Backend API</x:v>
      </x:c>
      <x:c r="F19" s="38" t="str">
        <x:v>Customer, Staff, Kitchen Staff, Admin</x:v>
      </x:c>
      <x:c r="G19" s="38" t="str">
        <x:v>Displays the authenticated user's profile and contact information using the current security identity.</x:v>
      </x:c>
      <x:c r="H19" s="38" t="str">
        <x:v>A user can only read their own profile through this function; sensitive fields and password hashes are excluded.</x:v>
      </x:c>
      <x:c r="I19" s="38" t="str">
        <x:v>Profile loads after login, contains only permitted fields, and rejects attempts to read another user's data.</x:v>
      </x:c>
      <x:c r="J19" s="38" t="str">
        <x:v>Iter1</x:v>
      </x:c>
      <x:c r="K19" s="38" t="str">
        <x:v>Iter1</x:v>
      </x:c>
      <x:c r="L19" s="38" t="str">
        <x:v>none</x:v>
      </x:c>
      <x:c r="M19" s="38" t="str">
        <x:v>Phan Nguyễn (DE191019)</x:v>
      </x:c>
      <x:c r="N19" s="38" t="str">
        <x:v>Medium</x:v>
      </x:c>
      <x:c r="O19" s="38" t="str">
        <x:v>Complex</x:v>
      </x:c>
      <x:c r="P19" s="38" t="n">
        <x:v>240</x:v>
      </x:c>
      <x:c r="Q19" s="38" t="str">
        <x:v>Done</x:v>
      </x:c>
      <x:c r="R19" s="38" t="str">
        <x:v>II.2.1</x:v>
      </x:c>
      <x:c r="S19" s="38" t="str">
        <x:v>II.2.1</x:v>
      </x:c>
      <x:c r="T19" s="38" t="str">
        <x:v>EV-USER-01 / TC-USER-01</x:v>
      </x:c>
      <x:c r="U19" s="38" t="str">
        <x:v>Connected to authenticated profile data.</x:v>
      </x:c>
      <x:c r="V19" s="38" t="str">
        <x:v>Verified</x:v>
      </x:c>
    </x:row>
    <x:row r="20" ht="64" customHeight="1">
      <x:c r="A20" s="38" t="n">
        <x:v>16</x:v>
      </x:c>
      <x:c r="B20" s="38" t="str">
        <x:v>USER-02</x:v>
      </x:c>
      <x:c r="C20" s="38" t="str">
        <x:v>Update Own Profile</x:v>
      </x:c>
      <x:c r="D20" s="38" t="str">
        <x:v>User Management</x:v>
      </x:c>
      <x:c r="E20" s="38" t="str">
        <x:v>UI / Backend API</x:v>
      </x:c>
      <x:c r="F20" s="38" t="str">
        <x:v>Customer, Staff, Kitchen Staff, Admin</x:v>
      </x:c>
      <x:c r="G20" s="38" t="str">
        <x:v>Allows permitted personal/contact fields and avatar data to be updated while preserving role, status, and credentials.</x:v>
      </x:c>
      <x:c r="H20" s="38" t="str">
        <x:v>Protected fields cannot be changed; duplicate contact information and invalid formats are rejected.</x:v>
      </x:c>
      <x:c r="I20" s="38" t="str">
        <x:v>Permitted changes persist after refresh; protected-field tampering is ignored/rejected; validation messages are clear.</x:v>
      </x:c>
      <x:c r="J20" s="38" t="str">
        <x:v>Iter1</x:v>
      </x:c>
      <x:c r="K20" s="38" t="str">
        <x:v>Iter1</x:v>
      </x:c>
      <x:c r="L20" s="38" t="str">
        <x:v>Iter3</x:v>
      </x:c>
      <x:c r="M20" s="38" t="str">
        <x:v>Nguyễn Đức Thương (DE190096)</x:v>
      </x:c>
      <x:c r="N20" s="38" t="str">
        <x:v>High</x:v>
      </x:c>
      <x:c r="O20" s="38" t="str">
        <x:v>Complex</x:v>
      </x:c>
      <x:c r="P20" s="38" t="n">
        <x:v>240</x:v>
      </x:c>
      <x:c r="Q20" s="38" t="str">
        <x:v>Updated</x:v>
      </x:c>
      <x:c r="R20" s="38" t="str">
        <x:v>II.2.2</x:v>
      </x:c>
      <x:c r="S20" s="38" t="str">
        <x:v>II.2.2</x:v>
      </x:c>
      <x:c r="T20" s="38" t="str">
        <x:v>EV-USER-02 / TC-USER-02</x:v>
      </x:c>
      <x:c r="U20" s="38" t="str">
        <x:v>Updated with stronger validation and avatar/contact handling.</x:v>
      </x:c>
      <x:c r="V20" s="38" t="str">
        <x:v>Verified</x:v>
      </x:c>
    </x:row>
    <x:row r="21" ht="64" customHeight="1">
      <x:c r="A21" s="38" t="n">
        <x:v>17</x:v>
      </x:c>
      <x:c r="B21" s="38" t="str">
        <x:v>USER-03</x:v>
      </x:c>
      <x:c r="C21" s="38" t="str">
        <x:v>Admin User List &amp; Search</x:v>
      </x:c>
      <x:c r="D21" s="38" t="str">
        <x:v>User Management</x:v>
      </x:c>
      <x:c r="E21" s="38" t="str">
        <x:v>Admin Screen / API</x:v>
      </x:c>
      <x:c r="F21" s="38" t="str">
        <x:v>Admin</x:v>
      </x:c>
      <x:c r="G21" s="38" t="str">
        <x:v>Provides paginated account listing with search and filters by role and account status.</x:v>
      </x:c>
      <x:c r="H21" s="38" t="str">
        <x:v>Only administrators can access; returned data excludes passwords and security secrets; pagination is stable.</x:v>
      </x:c>
      <x:c r="I21" s="38" t="str">
        <x:v>Admin can load, search, filter, and open account details; non-admin requests return 403; empty results are handled.</x:v>
      </x:c>
      <x:c r="J21" s="38" t="str">
        <x:v>Iter1</x:v>
      </x:c>
      <x:c r="K21" s="38" t="str">
        <x:v>Iter1</x:v>
      </x:c>
      <x:c r="L21" s="38" t="str">
        <x:v>Iter4</x:v>
      </x:c>
      <x:c r="M21" s="38" t="str">
        <x:v>Nguyễn Đức Thương (DE190096)</x:v>
      </x:c>
      <x:c r="N21" s="38" t="str">
        <x:v>Critical</x:v>
      </x:c>
      <x:c r="O21" s="38" t="str">
        <x:v>Complex</x:v>
      </x:c>
      <x:c r="P21" s="38" t="n">
        <x:v>240</x:v>
      </x:c>
      <x:c r="Q21" s="38" t="str">
        <x:v>Doing</x:v>
      </x:c>
      <x:c r="R21" s="38" t="str">
        <x:v>II.2.3</x:v>
      </x:c>
      <x:c r="S21" s="38" t="str">
        <x:v>II.2.3</x:v>
      </x:c>
      <x:c r="T21" s="38" t="str">
        <x:v>EV-USER-03 / TC-USER-03</x:v>
      </x:c>
      <x:c r="U21" s="38" t="str">
        <x:v>Admin page and backend listing API are incomplete.</x:v>
      </x:c>
      <x:c r="V21" s="38" t="str">
        <x:v>Partial</x:v>
      </x:c>
    </x:row>
    <x:row r="22" ht="64" customHeight="1">
      <x:c r="A22" s="38" t="n">
        <x:v>18</x:v>
      </x:c>
      <x:c r="B22" s="38" t="str">
        <x:v>USER-04</x:v>
      </x:c>
      <x:c r="C22" s="38" t="str">
        <x:v>Admin Change Role / Lock Account</x:v>
      </x:c>
      <x:c r="D22" s="38" t="str">
        <x:v>User Management</x:v>
      </x:c>
      <x:c r="E22" s="38" t="str">
        <x:v>Admin API</x:v>
      </x:c>
      <x:c r="F22" s="38" t="str">
        <x:v>Admin</x:v>
      </x:c>
      <x:c r="G22" s="38" t="str">
        <x:v>Allows safe role updates and account activation/locking with protection for critical accounts and active sessions.</x:v>
      </x:c>
      <x:c r="H22" s="38" t="str">
        <x:v>Admin cannot remove the last active administrator or lock the currently required system account; changes are audited.</x:v>
      </x:c>
      <x:c r="I22" s="38" t="str">
        <x:v>Allowed changes persist and affect authorization; unsafe changes are blocked; account lock prevents login immediately.</x:v>
      </x:c>
      <x:c r="J22" s="38" t="str">
        <x:v>Iter1</x:v>
      </x:c>
      <x:c r="K22" s="38" t="str">
        <x:v>none</x:v>
      </x:c>
      <x:c r="L22" s="38" t="str">
        <x:v>none</x:v>
      </x:c>
      <x:c r="M22" s="38" t="str">
        <x:v>Phan Nguyễn (DE191019)</x:v>
      </x:c>
      <x:c r="N22" s="38" t="str">
        <x:v>Critical</x:v>
      </x:c>
      <x:c r="O22" s="38" t="str">
        <x:v>Complex</x:v>
      </x:c>
      <x:c r="P22" s="38" t="n">
        <x:v>240</x:v>
      </x:c>
      <x:c r="Q22" s="38" t="str">
        <x:v>Not Started</x:v>
      </x:c>
      <x:c r="R22" s="38" t="str">
        <x:v>II.2.4</x:v>
      </x:c>
      <x:c r="S22" s="38" t="str">
        <x:v>II.2.4</x:v>
      </x:c>
      <x:c r="T22" s="38" t="str">
        <x:v>EV-USER-04 / TC-USER-04</x:v>
      </x:c>
      <x:c r="U22" s="38" t="str">
        <x:v>Role/status APIs, UI actions, audit logging, and regression tests are missing.</x:v>
      </x:c>
      <x:c r="V22" s="38" t="str">
        <x:v>Missing</x:v>
      </x:c>
    </x:row>
    <x:row r="23" ht="64" customHeight="1">
      <x:c r="A23" s="38" t="n">
        <x:v>19</x:v>
      </x:c>
      <x:c r="B23" s="38" t="str">
        <x:v>MENU-01</x:v>
      </x:c>
      <x:c r="C23" s="38" t="str">
        <x:v>Category List</x:v>
      </x:c>
      <x:c r="D23" s="38" t="str">
        <x:v>Menu Management</x:v>
      </x:c>
      <x:c r="E23" s="38" t="str">
        <x:v>Admin Screen / API</x:v>
      </x:c>
      <x:c r="F23" s="38" t="str">
        <x:v>Admin</x:v>
      </x:c>
      <x:c r="G23" s="38" t="str">
        <x:v>Lists categories with status, search, and item usage information for administration.</x:v>
      </x:c>
      <x:c r="H23" s="38" t="str">
        <x:v>Only active categories appear in customer menu; admin list may include inactive categories.</x:v>
      </x:c>
      <x:c r="I23" s="38" t="str">
        <x:v>Admin can search and filter categories; list reflects database state and handles no-data cases.</x:v>
      </x:c>
      <x:c r="J23" s="38" t="str">
        <x:v>Iter1</x:v>
      </x:c>
      <x:c r="K23" s="38" t="str">
        <x:v>Iter1</x:v>
      </x:c>
      <x:c r="L23" s="38" t="str">
        <x:v>none</x:v>
      </x:c>
      <x:c r="M23" s="38" t="str">
        <x:v>Phan Nguyễn (DE191019)</x:v>
      </x:c>
      <x:c r="N23" s="38" t="str">
        <x:v>Medium</x:v>
      </x:c>
      <x:c r="O23" s="38" t="str">
        <x:v>Medium</x:v>
      </x:c>
      <x:c r="P23" s="38" t="n">
        <x:v>120</x:v>
      </x:c>
      <x:c r="Q23" s="38" t="str">
        <x:v>Done</x:v>
      </x:c>
      <x:c r="R23" s="38" t="str">
        <x:v>II.3.1</x:v>
      </x:c>
      <x:c r="S23" s="38" t="str">
        <x:v>II.3.1</x:v>
      </x:c>
      <x:c r="T23" s="38" t="str">
        <x:v>EV-MENU-01 / TC-MENU-01</x:v>
      </x:c>
      <x:c r="U23" s="38" t="str">
        <x:v>Completed.</x:v>
      </x:c>
      <x:c r="V23" s="38" t="str">
        <x:v>Verified</x:v>
      </x:c>
    </x:row>
    <x:row r="24" ht="64" customHeight="1">
      <x:c r="A24" s="38" t="n">
        <x:v>20</x:v>
      </x:c>
      <x:c r="B24" s="38" t="str">
        <x:v>MENU-02</x:v>
      </x:c>
      <x:c r="C24" s="38" t="str">
        <x:v>Create / Update Category</x:v>
      </x:c>
      <x:c r="D24" s="38" t="str">
        <x:v>Menu Management</x:v>
      </x:c>
      <x:c r="E24" s="38" t="str">
        <x:v>Admin Screen / API</x:v>
      </x:c>
      <x:c r="F24" s="38" t="str">
        <x:v>Admin</x:v>
      </x:c>
      <x:c r="G24" s="38" t="str">
        <x:v>Creates and edits menu categories with normalized names and optional descriptions.</x:v>
      </x:c>
      <x:c r="H24" s="38" t="str">
        <x:v>Category names are required and unique case-insensitively; invalid input does not alter data.</x:v>
      </x:c>
      <x:c r="I24" s="38" t="str">
        <x:v>Create/update persists valid data; duplicates and blank names are rejected with clear feedback.</x:v>
      </x:c>
      <x:c r="J24" s="38" t="str">
        <x:v>Iter1</x:v>
      </x:c>
      <x:c r="K24" s="38" t="str">
        <x:v>Iter1</x:v>
      </x:c>
      <x:c r="L24" s="38" t="str">
        <x:v>none</x:v>
      </x:c>
      <x:c r="M24" s="38" t="str">
        <x:v>Phan Nguyễn (DE191019)</x:v>
      </x:c>
      <x:c r="N24" s="38" t="str">
        <x:v>High</x:v>
      </x:c>
      <x:c r="O24" s="38" t="str">
        <x:v>Medium</x:v>
      </x:c>
      <x:c r="P24" s="38" t="n">
        <x:v>120</x:v>
      </x:c>
      <x:c r="Q24" s="38" t="str">
        <x:v>Done</x:v>
      </x:c>
      <x:c r="R24" s="38" t="str">
        <x:v>II.3.2</x:v>
      </x:c>
      <x:c r="S24" s="38" t="str">
        <x:v>II.3.2</x:v>
      </x:c>
      <x:c r="T24" s="38" t="str">
        <x:v>EV-MENU-02 / TC-MENU-02</x:v>
      </x:c>
      <x:c r="U24" s="38" t="str">
        <x:v>Completed with duplicate-name validation.</x:v>
      </x:c>
      <x:c r="V24" s="38" t="str">
        <x:v>Verified</x:v>
      </x:c>
    </x:row>
    <x:row r="25" ht="64" customHeight="1">
      <x:c r="A25" s="38" t="n">
        <x:v>21</x:v>
      </x:c>
      <x:c r="B25" s="38" t="str">
        <x:v>MENU-03</x:v>
      </x:c>
      <x:c r="C25" s="38" t="str">
        <x:v>Deactivate Category &amp; Referential Rule</x:v>
      </x:c>
      <x:c r="D25" s="38" t="str">
        <x:v>Menu Management</x:v>
      </x:c>
      <x:c r="E25" s="38" t="str">
        <x:v>Admin API</x:v>
      </x:c>
      <x:c r="F25" s="38" t="str">
        <x:v>Admin</x:v>
      </x:c>
      <x:c r="G25" s="38" t="str">
        <x:v>Deactivates a category while preserving historical references and preventing unsafe deletion when foods still depend on it.</x:v>
      </x:c>
      <x:c r="H25" s="38" t="str">
        <x:v>Referenced categories are not hard-deleted; deactivation hides them from new customer selections.</x:v>
      </x:c>
      <x:c r="I25" s="38" t="str">
        <x:v>Deactivation is safe and reversible; existing historical food/order data remains valid.</x:v>
      </x:c>
      <x:c r="J25" s="38" t="str">
        <x:v>Iter1</x:v>
      </x:c>
      <x:c r="K25" s="38" t="str">
        <x:v>Iter1</x:v>
      </x:c>
      <x:c r="L25" s="38" t="str">
        <x:v>none</x:v>
      </x:c>
      <x:c r="M25" s="38" t="str">
        <x:v>Phan Nguyễn (DE191019)</x:v>
      </x:c>
      <x:c r="N25" s="38" t="str">
        <x:v>High</x:v>
      </x:c>
      <x:c r="O25" s="38" t="str">
        <x:v>Complex</x:v>
      </x:c>
      <x:c r="P25" s="38" t="n">
        <x:v>240</x:v>
      </x:c>
      <x:c r="Q25" s="38" t="str">
        <x:v>Done</x:v>
      </x:c>
      <x:c r="R25" s="38" t="str">
        <x:v>II.3.3</x:v>
      </x:c>
      <x:c r="S25" s="38" t="str">
        <x:v>II.3.3</x:v>
      </x:c>
      <x:c r="T25" s="38" t="str">
        <x:v>EV-MENU-03 / TC-MENU-03</x:v>
      </x:c>
      <x:c r="U25" s="38" t="str">
        <x:v>Referential integrity behavior is documented.</x:v>
      </x:c>
      <x:c r="V25" s="38" t="str">
        <x:v>Verified</x:v>
      </x:c>
    </x:row>
    <x:row r="26" ht="64" customHeight="1">
      <x:c r="A26" s="38" t="n">
        <x:v>22</x:v>
      </x:c>
      <x:c r="B26" s="38" t="str">
        <x:v>MENU-04</x:v>
      </x:c>
      <x:c r="C26" s="38" t="str">
        <x:v>Admin Food List / Search / Filter</x:v>
      </x:c>
      <x:c r="D26" s="38" t="str">
        <x:v>Menu Management</x:v>
      </x:c>
      <x:c r="E26" s="38" t="str">
        <x:v>Admin Screen / API</x:v>
      </x:c>
      <x:c r="F26" s="38" t="str">
        <x:v>Admin</x:v>
      </x:c>
      <x:c r="G26" s="38" t="str">
        <x:v>Lists foods with category, price, availability, status, and keyword/category filters.</x:v>
      </x:c>
      <x:c r="H26" s="38" t="str">
        <x:v>Pagination and filters must use server data; inactive items remain visible to admin only.</x:v>
      </x:c>
      <x:c r="I26" s="38" t="str">
        <x:v>Search/filter results are correct; list refreshes after changes; no-data and API-error states are shown.</x:v>
      </x:c>
      <x:c r="J26" s="38" t="str">
        <x:v>Iter1</x:v>
      </x:c>
      <x:c r="K26" s="38" t="str">
        <x:v>Iter1</x:v>
      </x:c>
      <x:c r="L26" s="38" t="str">
        <x:v>Iter4</x:v>
      </x:c>
      <x:c r="M26" s="38" t="str">
        <x:v>Phan Nguyễn (DE191019)</x:v>
      </x:c>
      <x:c r="N26" s="38" t="str">
        <x:v>High</x:v>
      </x:c>
      <x:c r="O26" s="38" t="str">
        <x:v>Medium</x:v>
      </x:c>
      <x:c r="P26" s="38" t="n">
        <x:v>120</x:v>
      </x:c>
      <x:c r="Q26" s="38" t="str">
        <x:v>Updated</x:v>
      </x:c>
      <x:c r="R26" s="38" t="str">
        <x:v>II.3.4</x:v>
      </x:c>
      <x:c r="S26" s="38" t="str">
        <x:v>II.3.4</x:v>
      </x:c>
      <x:c r="T26" s="38" t="str">
        <x:v>EV-MENU-04 / TC-MENU-04</x:v>
      </x:c>
      <x:c r="U26" s="38" t="str">
        <x:v>Enhanced search and availability display.</x:v>
      </x:c>
      <x:c r="V26" s="38" t="str">
        <x:v>Verified</x:v>
      </x:c>
    </x:row>
    <x:row r="27" ht="64" customHeight="1">
      <x:c r="A27" s="38" t="n">
        <x:v>23</x:v>
      </x:c>
      <x:c r="B27" s="38" t="str">
        <x:v>MENU-05</x:v>
      </x:c>
      <x:c r="C27" s="38" t="str">
        <x:v>Create / Update Food Item</x:v>
      </x:c>
      <x:c r="D27" s="38" t="str">
        <x:v>Menu Management</x:v>
      </x:c>
      <x:c r="E27" s="38" t="str">
        <x:v>Admin Screen / API</x:v>
      </x:c>
      <x:c r="F27" s="38" t="str">
        <x:v>Admin</x:v>
      </x:c>
      <x:c r="G27" s="38" t="str">
        <x:v>Creates and edits food name, category, price, description, image reference, status, and availability.</x:v>
      </x:c>
      <x:c r="H27" s="38" t="str">
        <x:v>Price must be positive; category must exist and be active for new assignments; duplicate business rules are enforced.</x:v>
      </x:c>
      <x:c r="I27" s="38" t="str">
        <x:v>Valid foods persist and appear in the proper menu; invalid price/category/data are rejected; updates preserve order history snapshots.</x:v>
      </x:c>
      <x:c r="J27" s="38" t="str">
        <x:v>Iter1</x:v>
      </x:c>
      <x:c r="K27" s="38" t="str">
        <x:v>Iter1</x:v>
      </x:c>
      <x:c r="L27" s="38" t="str">
        <x:v>Iter4</x:v>
      </x:c>
      <x:c r="M27" s="38" t="str">
        <x:v>Phan Nguyễn (DE191019)</x:v>
      </x:c>
      <x:c r="N27" s="38" t="str">
        <x:v>High</x:v>
      </x:c>
      <x:c r="O27" s="38" t="str">
        <x:v>Complex</x:v>
      </x:c>
      <x:c r="P27" s="38" t="n">
        <x:v>240</x:v>
      </x:c>
      <x:c r="Q27" s="38" t="str">
        <x:v>Updated</x:v>
      </x:c>
      <x:c r="R27" s="38" t="str">
        <x:v>II.3.5</x:v>
      </x:c>
      <x:c r="S27" s="38" t="str">
        <x:v>II.3.5</x:v>
      </x:c>
      <x:c r="T27" s="38" t="str">
        <x:v>EV-MENU-05 / TC-MENU-05</x:v>
      </x:c>
      <x:c r="U27" s="38" t="str">
        <x:v>Integrated with cart, order, kitchen, and reporting data.</x:v>
      </x:c>
      <x:c r="V27" s="38" t="str">
        <x:v>Verified</x:v>
      </x:c>
    </x:row>
    <x:row r="28" ht="64" customHeight="1">
      <x:c r="A28" s="38" t="n">
        <x:v>24</x:v>
      </x:c>
      <x:c r="B28" s="38" t="str">
        <x:v>MENU-06</x:v>
      </x:c>
      <x:c r="C28" s="38" t="str">
        <x:v>Food Image &amp; Availability Management</x:v>
      </x:c>
      <x:c r="D28" s="38" t="str">
        <x:v>Menu Management</x:v>
      </x:c>
      <x:c r="E28" s="38" t="str">
        <x:v>UI / Backend API</x:v>
      </x:c>
      <x:c r="F28" s="38" t="str">
        <x:v>Admin</x:v>
      </x:c>
      <x:c r="G28" s="38" t="str">
        <x:v>Updates food image metadata and operational availability separately from active master-data status.</x:v>
      </x:c>
      <x:c r="H28" s="38" t="str">
        <x:v>Unavailable food cannot be newly added to cart/order; existing historical orders retain the original item reference.</x:v>
      </x:c>
      <x:c r="I28" s="38" t="str">
        <x:v>Image/availability changes persist; customer menu updates; unavailable item ordering is blocked server-side.</x:v>
      </x:c>
      <x:c r="J28" s="38" t="str">
        <x:v>Iter1</x:v>
      </x:c>
      <x:c r="K28" s="38" t="str">
        <x:v>Iter1</x:v>
      </x:c>
      <x:c r="L28" s="38" t="str">
        <x:v>Iter4</x:v>
      </x:c>
      <x:c r="M28" s="38" t="str">
        <x:v>Nguyễn Đức Thương (DE190096)</x:v>
      </x:c>
      <x:c r="N28" s="38" t="str">
        <x:v>High</x:v>
      </x:c>
      <x:c r="O28" s="38" t="str">
        <x:v>Complex</x:v>
      </x:c>
      <x:c r="P28" s="38" t="n">
        <x:v>240</x:v>
      </x:c>
      <x:c r="Q28" s="38" t="str">
        <x:v>Updated</x:v>
      </x:c>
      <x:c r="R28" s="38" t="str">
        <x:v>II.3.6</x:v>
      </x:c>
      <x:c r="S28" s="38" t="str">
        <x:v>II.3.6</x:v>
      </x:c>
      <x:c r="T28" s="38" t="str">
        <x:v>EV-MENU-06 / TC-MENU-06</x:v>
      </x:c>
      <x:c r="U28" s="38" t="str">
        <x:v>Server-side availability validation remains part of order acceptance testing.</x:v>
      </x:c>
      <x:c r="V28" s="38" t="str">
        <x:v>Verified</x:v>
      </x:c>
    </x:row>
    <x:row r="29" ht="64" customHeight="1">
      <x:c r="A29" s="38" t="n">
        <x:v>25</x:v>
      </x:c>
      <x:c r="B29" s="38" t="str">
        <x:v>MENU-07</x:v>
      </x:c>
      <x:c r="C29" s="38" t="str">
        <x:v>Customer Menu Browse / Detail / Filter</x:v>
      </x:c>
      <x:c r="D29" s="38" t="str">
        <x:v>Menu Management</x:v>
      </x:c>
      <x:c r="E29" s="38" t="str">
        <x:v>Customer Screen</x:v>
      </x:c>
      <x:c r="F29" s="38" t="str">
        <x:v>Guest, Customer</x:v>
      </x:c>
      <x:c r="G29" s="38" t="str">
        <x:v>Displays active available foods grouped by category with details, keyword search, and category filtering.</x:v>
      </x:c>
      <x:c r="H29" s="38" t="str">
        <x:v>Only active/available foods and active categories are exposed; prices come from server data.</x:v>
      </x:c>
      <x:c r="I29" s="38" t="str">
        <x:v>Customer can browse and filter live menu data; unavailable items are hidden/disabled; cart entry points work.</x:v>
      </x:c>
      <x:c r="J29" s="38" t="str">
        <x:v>Iter1</x:v>
      </x:c>
      <x:c r="K29" s="38" t="str">
        <x:v>Iter1</x:v>
      </x:c>
      <x:c r="L29" s="38" t="str">
        <x:v>none</x:v>
      </x:c>
      <x:c r="M29" s="38" t="str">
        <x:v>Phan Nguyễn (DE191019)</x:v>
      </x:c>
      <x:c r="N29" s="38" t="str">
        <x:v>High</x:v>
      </x:c>
      <x:c r="O29" s="38" t="str">
        <x:v>Medium</x:v>
      </x:c>
      <x:c r="P29" s="38" t="n">
        <x:v>120</x:v>
      </x:c>
      <x:c r="Q29" s="38" t="str">
        <x:v>Done</x:v>
      </x:c>
      <x:c r="R29" s="38" t="str">
        <x:v>II.3.7</x:v>
      </x:c>
      <x:c r="S29" s="38" t="str">
        <x:v>II.3.7</x:v>
      </x:c>
      <x:c r="T29" s="38" t="str">
        <x:v>EV-MENU-07 / TC-MENU-07</x:v>
      </x:c>
      <x:c r="U29" s="38" t="str">
        <x:v>Responsive customer menu is completed.</x:v>
      </x:c>
      <x:c r="V29" s="38" t="str">
        <x:v>Verified</x:v>
      </x:c>
    </x:row>
    <x:row r="30" ht="64" customHeight="1">
      <x:c r="A30" s="38" t="n">
        <x:v>26</x:v>
      </x:c>
      <x:c r="B30" s="38" t="str">
        <x:v>TABLE-01</x:v>
      </x:c>
      <x:c r="C30" s="38" t="str">
        <x:v>View Table List &amp; Availability</x:v>
      </x:c>
      <x:c r="D30" s="38" t="str">
        <x:v>Table Management</x:v>
      </x:c>
      <x:c r="E30" s="38" t="str">
        <x:v>UI / Backend API</x:v>
      </x:c>
      <x:c r="F30" s="38" t="str">
        <x:v>Customer, Staff, Admin</x:v>
      </x:c>
      <x:c r="G30" s="38" t="str">
        <x:v>Displays restaurant tables with table number, capacity, status, and availability appropriate to the current role.</x:v>
      </x:c>
      <x:c r="H30" s="38" t="str">
        <x:v>Customers see reservable information; staff/admin may see operational status; inactive tables are excluded from new reservations.</x:v>
      </x:c>
      <x:c r="I30" s="38" t="str">
        <x:v>Role-appropriate table data loads correctly; statuses match database state; no-data and error states are handled.</x:v>
      </x:c>
      <x:c r="J30" s="38" t="str">
        <x:v>Iter2</x:v>
      </x:c>
      <x:c r="K30" s="38" t="str">
        <x:v>Iter2</x:v>
      </x:c>
      <x:c r="L30" s="38" t="str">
        <x:v>none</x:v>
      </x:c>
      <x:c r="M30" s="38" t="str">
        <x:v>Nguyễn Đức Thương (DE190096)</x:v>
      </x:c>
      <x:c r="N30" s="38" t="str">
        <x:v>High</x:v>
      </x:c>
      <x:c r="O30" s="38" t="str">
        <x:v>Complex</x:v>
      </x:c>
      <x:c r="P30" s="38" t="n">
        <x:v>240</x:v>
      </x:c>
      <x:c r="Q30" s="38" t="str">
        <x:v>Done</x:v>
      </x:c>
      <x:c r="R30" s="38" t="str">
        <x:v>II.4.1</x:v>
      </x:c>
      <x:c r="S30" s="38" t="str">
        <x:v>II.4.1</x:v>
      </x:c>
      <x:c r="T30" s="38" t="str">
        <x:v>EV-TABLE-01 / TC-TABLE-01</x:v>
      </x:c>
      <x:c r="U30" s="38" t="str">
        <x:v>Completed.</x:v>
      </x:c>
      <x:c r="V30" s="38" t="str">
        <x:v>Verified</x:v>
      </x:c>
    </x:row>
    <x:row r="31" ht="64" customHeight="1">
      <x:c r="A31" s="38" t="n">
        <x:v>27</x:v>
      </x:c>
      <x:c r="B31" s="38" t="str">
        <x:v>TABLE-02</x:v>
      </x:c>
      <x:c r="C31" s="38" t="str">
        <x:v>Admin Create / Update Table</x:v>
      </x:c>
      <x:c r="D31" s="38" t="str">
        <x:v>Table Management</x:v>
      </x:c>
      <x:c r="E31" s="38" t="str">
        <x:v>Admin Screen / API</x:v>
      </x:c>
      <x:c r="F31" s="38" t="str">
        <x:v>Admin</x:v>
      </x:c>
      <x:c r="G31" s="38" t="str">
        <x:v>Creates and edits restaurant table master data including number, capacity, status, and active flag.</x:v>
      </x:c>
      <x:c r="H31" s="38" t="str">
        <x:v>Table number is unique; capacity is positive and within configured limits; referenced tables are not unsafely deleted.</x:v>
      </x:c>
      <x:c r="I31" s="38" t="str">
        <x:v>Valid changes persist; duplicates and invalid capacity are rejected; updates appear in reservation/staff screens.</x:v>
      </x:c>
      <x:c r="J31" s="38" t="str">
        <x:v>Iter2</x:v>
      </x:c>
      <x:c r="K31" s="38" t="str">
        <x:v>Iter2</x:v>
      </x:c>
      <x:c r="L31" s="38" t="str">
        <x:v>Iter3</x:v>
      </x:c>
      <x:c r="M31" s="38" t="str">
        <x:v>Phạm Văn Quyết (DE190425)</x:v>
      </x:c>
      <x:c r="N31" s="38" t="str">
        <x:v>High</x:v>
      </x:c>
      <x:c r="O31" s="38" t="str">
        <x:v>Complex</x:v>
      </x:c>
      <x:c r="P31" s="38" t="n">
        <x:v>240</x:v>
      </x:c>
      <x:c r="Q31" s="38" t="str">
        <x:v>Updated</x:v>
      </x:c>
      <x:c r="R31" s="38" t="str">
        <x:v>II.4.2</x:v>
      </x:c>
      <x:c r="S31" s="38" t="str">
        <x:v>II.4.2</x:v>
      </x:c>
      <x:c r="T31" s="38" t="str">
        <x:v>EV-TABLE-02 / TC-TABLE-02</x:v>
      </x:c>
      <x:c r="U31" s="38" t="str">
        <x:v>Operational status handling was strengthened.</x:v>
      </x:c>
      <x:c r="V31" s="38" t="str">
        <x:v>Verified</x:v>
      </x:c>
    </x:row>
    <x:row r="32" ht="64" customHeight="1">
      <x:c r="A32" s="38" t="n">
        <x:v>28</x:v>
      </x:c>
      <x:c r="B32" s="38" t="str">
        <x:v>TABLE-03</x:v>
      </x:c>
      <x:c r="C32" s="38" t="str">
        <x:v>Table Capacity Validation</x:v>
      </x:c>
      <x:c r="D32" s="38" t="str">
        <x:v>Table Management</x:v>
      </x:c>
      <x:c r="E32" s="38" t="str">
        <x:v>Business Service</x:v>
      </x:c>
      <x:c r="F32" s="38" t="str">
        <x:v>Admin, Staff, Customer</x:v>
      </x:c>
      <x:c r="G32" s="38" t="str">
        <x:v>Validates table capacity during table maintenance, reservation matching, and staff assignment.</x:v>
      </x:c>
      <x:c r="H32" s="38" t="str">
        <x:v>Capacity must be a positive integer; party size cannot exceed selected table capacity.</x:v>
      </x:c>
      <x:c r="I32" s="38" t="str">
        <x:v>Invalid capacity and oversized party selections are rejected consistently in UI and API tests.</x:v>
      </x:c>
      <x:c r="J32" s="38" t="str">
        <x:v>Iter2</x:v>
      </x:c>
      <x:c r="K32" s="38" t="str">
        <x:v>Iter2</x:v>
      </x:c>
      <x:c r="L32" s="38" t="str">
        <x:v>none</x:v>
      </x:c>
      <x:c r="M32" s="38" t="str">
        <x:v>Phạm Văn Quyết (DE190425)</x:v>
      </x:c>
      <x:c r="N32" s="38" t="str">
        <x:v>High</x:v>
      </x:c>
      <x:c r="O32" s="38" t="str">
        <x:v>Medium</x:v>
      </x:c>
      <x:c r="P32" s="38" t="n">
        <x:v>120</x:v>
      </x:c>
      <x:c r="Q32" s="38" t="str">
        <x:v>Done</x:v>
      </x:c>
      <x:c r="R32" s="38" t="str">
        <x:v>II.4.3</x:v>
      </x:c>
      <x:c r="S32" s="38" t="str">
        <x:v>II.4.3</x:v>
      </x:c>
      <x:c r="T32" s="38" t="str">
        <x:v>EV-TABLE-03 / TC-TABLE-03</x:v>
      </x:c>
      <x:c r="U32" s="38" t="str">
        <x:v>Shared validation is used by reservation logic.</x:v>
      </x:c>
      <x:c r="V32" s="38" t="str">
        <x:v>Verified</x:v>
      </x:c>
    </x:row>
    <x:row r="33" ht="64" customHeight="1">
      <x:c r="A33" s="38" t="n">
        <x:v>29</x:v>
      </x:c>
      <x:c r="B33" s="38" t="str">
        <x:v>TABLE-04</x:v>
      </x:c>
      <x:c r="C33" s="38" t="str">
        <x:v>Table Number Uniqueness</x:v>
      </x:c>
      <x:c r="D33" s="38" t="str">
        <x:v>Table Management</x:v>
      </x:c>
      <x:c r="E33" s="38" t="str">
        <x:v>Database / Service Validation</x:v>
      </x:c>
      <x:c r="F33" s="38" t="str">
        <x:v>Admin</x:v>
      </x:c>
      <x:c r="G33" s="38" t="str">
        <x:v>Prevents duplicate table numbers through service validation and a database uniqueness constraint.</x:v>
      </x:c>
      <x:c r="H33" s="38" t="str">
        <x:v>Comparison is normalized; concurrent creation cannot produce duplicates.</x:v>
      </x:c>
      <x:c r="I33" s="38" t="str">
        <x:v>Duplicate requests return a conflict/validation error and only one table record exists after concurrent tests.</x:v>
      </x:c>
      <x:c r="J33" s="38" t="str">
        <x:v>Iter2</x:v>
      </x:c>
      <x:c r="K33" s="38" t="str">
        <x:v>Iter2</x:v>
      </x:c>
      <x:c r="L33" s="38" t="str">
        <x:v>none</x:v>
      </x:c>
      <x:c r="M33" s="38" t="str">
        <x:v>Phan Nguyễn (DE191019)</x:v>
      </x:c>
      <x:c r="N33" s="38" t="str">
        <x:v>High</x:v>
      </x:c>
      <x:c r="O33" s="38" t="str">
        <x:v>Medium</x:v>
      </x:c>
      <x:c r="P33" s="38" t="n">
        <x:v>120</x:v>
      </x:c>
      <x:c r="Q33" s="38" t="str">
        <x:v>Done</x:v>
      </x:c>
      <x:c r="R33" s="38" t="str">
        <x:v>II.4.4</x:v>
      </x:c>
      <x:c r="S33" s="38" t="str">
        <x:v>II.4.4</x:v>
      </x:c>
      <x:c r="T33" s="38" t="str">
        <x:v>EV-TABLE-04 / TC-TABLE-04</x:v>
      </x:c>
      <x:c r="U33" s="38" t="str">
        <x:v>Database constraint evidence required in final package.</x:v>
      </x:c>
      <x:c r="V33" s="38" t="str">
        <x:v>Verified</x:v>
      </x:c>
    </x:row>
    <x:row r="34" ht="64" customHeight="1">
      <x:c r="A34" s="38" t="n">
        <x:v>30</x:v>
      </x:c>
      <x:c r="B34" s="38" t="str">
        <x:v>TABLE-05</x:v>
      </x:c>
      <x:c r="C34" s="38" t="str">
        <x:v>Table Operational Status Update</x:v>
      </x:c>
      <x:c r="D34" s="38" t="str">
        <x:v>Table Management</x:v>
      </x:c>
      <x:c r="E34" s="38" t="str">
        <x:v>Staff / Admin API</x:v>
      </x:c>
      <x:c r="F34" s="38" t="str">
        <x:v>Staff, Admin</x:v>
      </x:c>
      <x:c r="G34" s="38" t="str">
        <x:v>Updates operational table state such as available, reserved, occupied, or unavailable with controlled transitions.</x:v>
      </x:c>
      <x:c r="H34" s="38" t="str">
        <x:v>Transitions must respect active reservations/orders and cannot silently overwrite conflicting state.</x:v>
      </x:c>
      <x:c r="I34" s="38" t="str">
        <x:v>Allowed transitions succeed; invalid transitions return business errors; reservation/order flows remain synchronized.</x:v>
      </x:c>
      <x:c r="J34" s="38" t="str">
        <x:v>Iter2</x:v>
      </x:c>
      <x:c r="K34" s="38" t="str">
        <x:v>Iter2</x:v>
      </x:c>
      <x:c r="L34" s="38" t="str">
        <x:v>Iter3</x:v>
      </x:c>
      <x:c r="M34" s="38" t="str">
        <x:v>Trần Thanh Gia Huy (DE180571)</x:v>
      </x:c>
      <x:c r="N34" s="38" t="str">
        <x:v>High</x:v>
      </x:c>
      <x:c r="O34" s="38" t="str">
        <x:v>Complex</x:v>
      </x:c>
      <x:c r="P34" s="38" t="n">
        <x:v>240</x:v>
      </x:c>
      <x:c r="Q34" s="38" t="str">
        <x:v>Updated</x:v>
      </x:c>
      <x:c r="R34" s="38" t="str">
        <x:v>II.4.5</x:v>
      </x:c>
      <x:c r="S34" s="38" t="str">
        <x:v>II.4.5</x:v>
      </x:c>
      <x:c r="T34" s="38" t="str">
        <x:v>EV-TABLE-05 / TC-TABLE-05</x:v>
      </x:c>
      <x:c r="U34" s="38" t="str">
        <x:v>Status transition rules were expanded.</x:v>
      </x:c>
      <x:c r="V34" s="38" t="str">
        <x:v>Verified</x:v>
      </x:c>
    </x:row>
    <x:row r="35" ht="64" customHeight="1">
      <x:c r="A35" s="38" t="n">
        <x:v>31</x:v>
      </x:c>
      <x:c r="B35" s="38" t="str">
        <x:v>TABLE-06</x:v>
      </x:c>
      <x:c r="C35" s="38" t="str">
        <x:v>Table Search &amp; Filter</x:v>
      </x:c>
      <x:c r="D35" s="38" t="str">
        <x:v>Table Management</x:v>
      </x:c>
      <x:c r="E35" s="38" t="str">
        <x:v>UI / Backend API</x:v>
      </x:c>
      <x:c r="F35" s="38" t="str">
        <x:v>Staff, Admin</x:v>
      </x:c>
      <x:c r="G35" s="38" t="str">
        <x:v>Supports search and filtering by table number, capacity, active flag, and operational status.</x:v>
      </x:c>
      <x:c r="H35" s="38" t="str">
        <x:v>Filters are server-compatible and stable with pagination; role restrictions remain applied.</x:v>
      </x:c>
      <x:c r="I35" s="38" t="str">
        <x:v>Combined filters return correct records and reset correctly; empty results display cleanly.</x:v>
      </x:c>
      <x:c r="J35" s="38" t="str">
        <x:v>Iter2</x:v>
      </x:c>
      <x:c r="K35" s="38" t="str">
        <x:v>Iter2</x:v>
      </x:c>
      <x:c r="L35" s="38" t="str">
        <x:v>none</x:v>
      </x:c>
      <x:c r="M35" s="38" t="str">
        <x:v>Trần Thanh Gia Huy (DE180571)</x:v>
      </x:c>
      <x:c r="N35" s="38" t="str">
        <x:v>Medium</x:v>
      </x:c>
      <x:c r="O35" s="38" t="str">
        <x:v>Complex</x:v>
      </x:c>
      <x:c r="P35" s="38" t="n">
        <x:v>240</x:v>
      </x:c>
      <x:c r="Q35" s="38" t="str">
        <x:v>Done</x:v>
      </x:c>
      <x:c r="R35" s="38" t="str">
        <x:v>II.4.6</x:v>
      </x:c>
      <x:c r="S35" s="38" t="str">
        <x:v>II.4.6</x:v>
      </x:c>
      <x:c r="T35" s="38" t="str">
        <x:v>EV-TABLE-06 / TC-TABLE-06</x:v>
      </x:c>
      <x:c r="U35" s="38" t="str">
        <x:v>Completed.</x:v>
      </x:c>
      <x:c r="V35" s="38" t="str">
        <x:v>Verified</x:v>
      </x:c>
    </x:row>
    <x:row r="36" ht="64" customHeight="1">
      <x:c r="A36" s="38" t="n">
        <x:v>32</x:v>
      </x:c>
      <x:c r="B36" s="38" t="str">
        <x:v>RES-01</x:v>
      </x:c>
      <x:c r="C36" s="38" t="str">
        <x:v>Create Reservation Form</x:v>
      </x:c>
      <x:c r="D36" s="38" t="str">
        <x:v>Reservation Management</x:v>
      </x:c>
      <x:c r="E36" s="38" t="str">
        <x:v>Customer Screen</x:v>
      </x:c>
      <x:c r="F36" s="38" t="str">
        <x:v>Customer</x:v>
      </x:c>
      <x:c r="G36" s="38" t="str">
        <x:v>Collects reservation date, time, party size, selected table, and optional notes with clear validation.</x:v>
      </x:c>
      <x:c r="H36" s="38" t="str">
        <x:v>Past times are not allowed; party size is positive; selected table must remain available at submission.</x:v>
      </x:c>
      <x:c r="I36" s="38" t="str">
        <x:v>Valid form submits once; invalid date/time/party/table shows clear messages; success displays reservation details.</x:v>
      </x:c>
      <x:c r="J36" s="38" t="str">
        <x:v>Iter2</x:v>
      </x:c>
      <x:c r="K36" s="38" t="str">
        <x:v>Iter2</x:v>
      </x:c>
      <x:c r="L36" s="38" t="str">
        <x:v>none</x:v>
      </x:c>
      <x:c r="M36" s="38" t="str">
        <x:v>Nguyễn Đức Thương (DE190096)</x:v>
      </x:c>
      <x:c r="N36" s="38" t="str">
        <x:v>High</x:v>
      </x:c>
      <x:c r="O36" s="38" t="str">
        <x:v>Medium</x:v>
      </x:c>
      <x:c r="P36" s="38" t="n">
        <x:v>120</x:v>
      </x:c>
      <x:c r="Q36" s="38" t="str">
        <x:v>Done</x:v>
      </x:c>
      <x:c r="R36" s="38" t="str">
        <x:v>II.5.1</x:v>
      </x:c>
      <x:c r="S36" s="38" t="str">
        <x:v>II.5.1</x:v>
      </x:c>
      <x:c r="T36" s="38" t="str">
        <x:v>EV-RES-01 / TC-RES-01</x:v>
      </x:c>
      <x:c r="U36" s="38" t="str">
        <x:v>Completed.</x:v>
      </x:c>
      <x:c r="V36" s="38" t="str">
        <x:v>Verified</x:v>
      </x:c>
    </x:row>
    <x:row r="37" ht="64" customHeight="1">
      <x:c r="A37" s="38" t="n">
        <x:v>33</x:v>
      </x:c>
      <x:c r="B37" s="38" t="str">
        <x:v>RES-02</x:v>
      </x:c>
      <x:c r="C37" s="38" t="str">
        <x:v>Search Available Tables</x:v>
      </x:c>
      <x:c r="D37" s="38" t="str">
        <x:v>Reservation Management</x:v>
      </x:c>
      <x:c r="E37" s="38" t="str">
        <x:v>Backend API</x:v>
      </x:c>
      <x:c r="F37" s="38" t="str">
        <x:v>Customer, Staff</x:v>
      </x:c>
      <x:c r="G37" s="38" t="str">
        <x:v>Returns tables available for a requested time range and party size.</x:v>
      </x:c>
      <x:c r="H37" s="38" t="str">
        <x:v>Inactive/unavailable/undersized tables and overlapping active reservations are excluded.</x:v>
      </x:c>
      <x:c r="I37" s="38" t="str">
        <x:v>Results match direct database checks; unavailable tables are never returned; boundary times are tested.</x:v>
      </x:c>
      <x:c r="J37" s="38" t="str">
        <x:v>Iter2</x:v>
      </x:c>
      <x:c r="K37" s="38" t="str">
        <x:v>Iter2</x:v>
      </x:c>
      <x:c r="L37" s="38" t="str">
        <x:v>Iter4</x:v>
      </x:c>
      <x:c r="M37" s="38" t="str">
        <x:v>Phạm Văn Quyết (DE190425)</x:v>
      </x:c>
      <x:c r="N37" s="38" t="str">
        <x:v>Critical</x:v>
      </x:c>
      <x:c r="O37" s="38" t="str">
        <x:v>Complex</x:v>
      </x:c>
      <x:c r="P37" s="38" t="n">
        <x:v>240</x:v>
      </x:c>
      <x:c r="Q37" s="38" t="str">
        <x:v>Updated</x:v>
      </x:c>
      <x:c r="R37" s="38" t="str">
        <x:v>II.5.2</x:v>
      </x:c>
      <x:c r="S37" s="38" t="str">
        <x:v>II.5.2</x:v>
      </x:c>
      <x:c r="T37" s="38" t="str">
        <x:v>EV-RES-02 / TC-RES-02</x:v>
      </x:c>
      <x:c r="U37" s="38" t="str">
        <x:v>Query and conflict rules were strengthened.</x:v>
      </x:c>
      <x:c r="V37" s="38" t="str">
        <x:v>Verified</x:v>
      </x:c>
    </x:row>
    <x:row r="38" ht="64" customHeight="1">
      <x:c r="A38" s="38" t="n">
        <x:v>34</x:v>
      </x:c>
      <x:c r="B38" s="38" t="str">
        <x:v>RES-03</x:v>
      </x:c>
      <x:c r="C38" s="38" t="str">
        <x:v>Reservation Capacity Matching</x:v>
      </x:c>
      <x:c r="D38" s="38" t="str">
        <x:v>Reservation Management</x:v>
      </x:c>
      <x:c r="E38" s="38" t="str">
        <x:v>Business Service</x:v>
      </x:c>
      <x:c r="F38" s="38" t="str">
        <x:v>Customer, Staff</x:v>
      </x:c>
      <x:c r="G38" s="38" t="str">
        <x:v>Matches party size with eligible table capacity and validates a manually selected table before saving.</x:v>
      </x:c>
      <x:c r="H38" s="38" t="str">
        <x:v>Selected table capacity must be greater than or equal to party size; capacity cannot be bypassed from the client.</x:v>
      </x:c>
      <x:c r="I38" s="38" t="str">
        <x:v>Oversized reservations are rejected server-side; valid matching returns appropriate tables.</x:v>
      </x:c>
      <x:c r="J38" s="38" t="str">
        <x:v>Iter2</x:v>
      </x:c>
      <x:c r="K38" s="38" t="str">
        <x:v>Iter2</x:v>
      </x:c>
      <x:c r="L38" s="38" t="str">
        <x:v>none</x:v>
      </x:c>
      <x:c r="M38" s="38" t="str">
        <x:v>Phạm Văn Quyết (DE190425)</x:v>
      </x:c>
      <x:c r="N38" s="38" t="str">
        <x:v>High</x:v>
      </x:c>
      <x:c r="O38" s="38" t="str">
        <x:v>Medium</x:v>
      </x:c>
      <x:c r="P38" s="38" t="n">
        <x:v>120</x:v>
      </x:c>
      <x:c r="Q38" s="38" t="str">
        <x:v>Done</x:v>
      </x:c>
      <x:c r="R38" s="38" t="str">
        <x:v>II.5.3</x:v>
      </x:c>
      <x:c r="S38" s="38" t="str">
        <x:v>II.5.3</x:v>
      </x:c>
      <x:c r="T38" s="38" t="str">
        <x:v>EV-RES-03 / TC-RES-03</x:v>
      </x:c>
      <x:c r="U38" s="38" t="str">
        <x:v>Completed.</x:v>
      </x:c>
      <x:c r="V38" s="38" t="str">
        <x:v>Verified</x:v>
      </x:c>
    </x:row>
    <x:row r="39" ht="64" customHeight="1">
      <x:c r="A39" s="38" t="n">
        <x:v>35</x:v>
      </x:c>
      <x:c r="B39" s="38" t="str">
        <x:v>RES-04</x:v>
      </x:c>
      <x:c r="C39" s="38" t="str">
        <x:v>Reservation Overlap &amp; Concurrency Prevention</x:v>
      </x:c>
      <x:c r="D39" s="38" t="str">
        <x:v>Reservation Management</x:v>
      </x:c>
      <x:c r="E39" s="38" t="str">
        <x:v>Business Service / DB Lock</x:v>
      </x:c>
      <x:c r="F39" s="38" t="str">
        <x:v>Customer, Staff</x:v>
      </x:c>
      <x:c r="G39" s="38" t="str">
        <x:v>Prevents two active reservations from occupying the same table during overlapping time ranges, including concurrent submissions.</x:v>
      </x:c>
      <x:c r="H39" s="38" t="str">
        <x:v>Overlap considers configured duration/statuses; final availability is checked inside the transaction using locking.</x:v>
      </x:c>
      <x:c r="I39" s="38" t="str">
        <x:v>Sequential and concurrent overlap tests allow only one conflicting reservation; non-overlapping reservations succeed.</x:v>
      </x:c>
      <x:c r="J39" s="38" t="str">
        <x:v>Iter2</x:v>
      </x:c>
      <x:c r="K39" s="38" t="str">
        <x:v>Iter2</x:v>
      </x:c>
      <x:c r="L39" s="38" t="str">
        <x:v>Iter4</x:v>
      </x:c>
      <x:c r="M39" s="38" t="str">
        <x:v>Phạm Văn Quyết (DE190425)</x:v>
      </x:c>
      <x:c r="N39" s="38" t="str">
        <x:v>Critical</x:v>
      </x:c>
      <x:c r="O39" s="38" t="str">
        <x:v>Complex</x:v>
      </x:c>
      <x:c r="P39" s="38" t="n">
        <x:v>240</x:v>
      </x:c>
      <x:c r="Q39" s="38" t="str">
        <x:v>Updated</x:v>
      </x:c>
      <x:c r="R39" s="38" t="str">
        <x:v>II.5.4</x:v>
      </x:c>
      <x:c r="S39" s="38" t="str">
        <x:v>II.5.4</x:v>
      </x:c>
      <x:c r="T39" s="38" t="str">
        <x:v>EV-RES-04 / TC-RES-04</x:v>
      </x:c>
      <x:c r="U39" s="38" t="str">
        <x:v>Pessimistic locking and concurrency tests must be retained in release evidence.</x:v>
      </x:c>
      <x:c r="V39" s="38" t="str">
        <x:v>Verified</x:v>
      </x:c>
    </x:row>
    <x:row r="40" ht="64" customHeight="1">
      <x:c r="A40" s="38" t="n">
        <x:v>36</x:v>
      </x:c>
      <x:c r="B40" s="38" t="str">
        <x:v>RES-05</x:v>
      </x:c>
      <x:c r="C40" s="38" t="str">
        <x:v>Reservation Persistence Transaction</x:v>
      </x:c>
      <x:c r="D40" s="38" t="str">
        <x:v>Reservation Management</x:v>
      </x:c>
      <x:c r="E40" s="38" t="str">
        <x:v>Backend Service / DB</x:v>
      </x:c>
      <x:c r="F40" s="38" t="str">
        <x:v>Customer, Staff</x:v>
      </x:c>
      <x:c r="G40" s="38" t="str">
        <x:v>Creates the reservation atomically after revalidating user, table, time, capacity, and overlap rules.</x:v>
      </x:c>
      <x:c r="H40" s="38" t="str">
        <x:v>Failed validation rolls back fully; createdBy/customer identity comes from the authenticated context.</x:v>
      </x:c>
      <x:c r="I40" s="38" t="str">
        <x:v>Successful reservation has complete data; failures create no partial record; ownership is correct.</x:v>
      </x:c>
      <x:c r="J40" s="38" t="str">
        <x:v>Iter2</x:v>
      </x:c>
      <x:c r="K40" s="38" t="str">
        <x:v>Iter2</x:v>
      </x:c>
      <x:c r="L40" s="38" t="str">
        <x:v>none</x:v>
      </x:c>
      <x:c r="M40" s="38" t="str">
        <x:v>Phạm Văn Quyết (DE190425)</x:v>
      </x:c>
      <x:c r="N40" s="38" t="str">
        <x:v>High</x:v>
      </x:c>
      <x:c r="O40" s="38" t="str">
        <x:v>Complex</x:v>
      </x:c>
      <x:c r="P40" s="38" t="n">
        <x:v>240</x:v>
      </x:c>
      <x:c r="Q40" s="38" t="str">
        <x:v>Done</x:v>
      </x:c>
      <x:c r="R40" s="38" t="str">
        <x:v>II.5.5</x:v>
      </x:c>
      <x:c r="S40" s="38" t="str">
        <x:v>II.5.5</x:v>
      </x:c>
      <x:c r="T40" s="38" t="str">
        <x:v>EV-RES-05 / TC-RES-05</x:v>
      </x:c>
      <x:c r="U40" s="38" t="str">
        <x:v>Completed.</x:v>
      </x:c>
      <x:c r="V40" s="38" t="str">
        <x:v>Verified</x:v>
      </x:c>
    </x:row>
    <x:row r="41" ht="64" customHeight="1">
      <x:c r="A41" s="38" t="n">
        <x:v>37</x:v>
      </x:c>
      <x:c r="B41" s="38" t="str">
        <x:v>RES-06</x:v>
      </x:c>
      <x:c r="C41" s="38" t="str">
        <x:v>View My Reservations</x:v>
      </x:c>
      <x:c r="D41" s="38" t="str">
        <x:v>Reservation Management</x:v>
      </x:c>
      <x:c r="E41" s="38" t="str">
        <x:v>Customer Screen / API</x:v>
      </x:c>
      <x:c r="F41" s="38" t="str">
        <x:v>Customer</x:v>
      </x:c>
      <x:c r="G41" s="38" t="str">
        <x:v>Lists the current customer's upcoming and historical reservations with status and summary information.</x:v>
      </x:c>
      <x:c r="H41" s="38" t="str">
        <x:v>Only reservations owned by the authenticated customer are returned; sorting is deterministic.</x:v>
      </x:c>
      <x:c r="I41" s="38" t="str">
        <x:v>Customer sees only own records; upcoming/history filters work; unauthorized ID guessing is blocked.</x:v>
      </x:c>
      <x:c r="J41" s="38" t="str">
        <x:v>Iter2</x:v>
      </x:c>
      <x:c r="K41" s="38" t="str">
        <x:v>Iter2</x:v>
      </x:c>
      <x:c r="L41" s="38" t="str">
        <x:v>none</x:v>
      </x:c>
      <x:c r="M41" s="38" t="str">
        <x:v>Nguyễn Đức Thương (DE190096)</x:v>
      </x:c>
      <x:c r="N41" s="38" t="str">
        <x:v>High</x:v>
      </x:c>
      <x:c r="O41" s="38" t="str">
        <x:v>Complex</x:v>
      </x:c>
      <x:c r="P41" s="38" t="n">
        <x:v>240</x:v>
      </x:c>
      <x:c r="Q41" s="38" t="str">
        <x:v>Done</x:v>
      </x:c>
      <x:c r="R41" s="38" t="str">
        <x:v>II.5.6</x:v>
      </x:c>
      <x:c r="S41" s="38" t="str">
        <x:v>II.5.6</x:v>
      </x:c>
      <x:c r="T41" s="38" t="str">
        <x:v>EV-RES-06 / TC-RES-06</x:v>
      </x:c>
      <x:c r="U41" s="38" t="str">
        <x:v>Completed.</x:v>
      </x:c>
      <x:c r="V41" s="38" t="str">
        <x:v>Verified</x:v>
      </x:c>
    </x:row>
    <x:row r="42" ht="64" customHeight="1">
      <x:c r="A42" s="38" t="n">
        <x:v>38</x:v>
      </x:c>
      <x:c r="B42" s="38" t="str">
        <x:v>RES-07</x:v>
      </x:c>
      <x:c r="C42" s="38" t="str">
        <x:v>Reservation Detail</x:v>
      </x:c>
      <x:c r="D42" s="38" t="str">
        <x:v>Reservation Management</x:v>
      </x:c>
      <x:c r="E42" s="38" t="str">
        <x:v>Customer Screen / API</x:v>
      </x:c>
      <x:c r="F42" s="38" t="str">
        <x:v>Customer</x:v>
      </x:c>
      <x:c r="G42" s="38" t="str">
        <x:v>Shows one owned reservation with table, time, party, status, notes, and allowed actions.</x:v>
      </x:c>
      <x:c r="H42" s="38" t="str">
        <x:v>Ownership is enforced server-side; actions depend on time and status.</x:v>
      </x:c>
      <x:c r="I42" s="38" t="str">
        <x:v>Owned detail loads; other users receive 403/404; edit/cancel buttons appear only when allowed.</x:v>
      </x:c>
      <x:c r="J42" s="38" t="str">
        <x:v>Iter2</x:v>
      </x:c>
      <x:c r="K42" s="38" t="str">
        <x:v>Iter2</x:v>
      </x:c>
      <x:c r="L42" s="38" t="str">
        <x:v>none</x:v>
      </x:c>
      <x:c r="M42" s="38" t="str">
        <x:v>Nguyễn Đức Thương (DE190096)</x:v>
      </x:c>
      <x:c r="N42" s="38" t="str">
        <x:v>Medium</x:v>
      </x:c>
      <x:c r="O42" s="38" t="str">
        <x:v>Complex</x:v>
      </x:c>
      <x:c r="P42" s="38" t="n">
        <x:v>240</x:v>
      </x:c>
      <x:c r="Q42" s="38" t="str">
        <x:v>Done</x:v>
      </x:c>
      <x:c r="R42" s="38" t="str">
        <x:v>II.5.7</x:v>
      </x:c>
      <x:c r="S42" s="38" t="str">
        <x:v>II.5.7</x:v>
      </x:c>
      <x:c r="T42" s="38" t="str">
        <x:v>EV-RES-07 / TC-RES-07</x:v>
      </x:c>
      <x:c r="U42" s="38" t="str">
        <x:v>Completed.</x:v>
      </x:c>
      <x:c r="V42" s="38" t="str">
        <x:v>Verified</x:v>
      </x:c>
    </x:row>
    <x:row r="43" ht="64" customHeight="1">
      <x:c r="A43" s="38" t="n">
        <x:v>39</x:v>
      </x:c>
      <x:c r="B43" s="38" t="str">
        <x:v>RES-08</x:v>
      </x:c>
      <x:c r="C43" s="38" t="str">
        <x:v>Update Future Reservation</x:v>
      </x:c>
      <x:c r="D43" s="38" t="str">
        <x:v>Reservation Management</x:v>
      </x:c>
      <x:c r="E43" s="38" t="str">
        <x:v>Customer API</x:v>
      </x:c>
      <x:c r="F43" s="38" t="str">
        <x:v>Customer</x:v>
      </x:c>
      <x:c r="G43" s="38" t="str">
        <x:v>Updates an eligible future reservation after rechecking capacity, table availability, time, and overlap.</x:v>
      </x:c>
      <x:c r="H43" s="38" t="str">
        <x:v>Past, completed, cancelled, seated, or otherwise locked reservations cannot be modified.</x:v>
      </x:c>
      <x:c r="I43" s="38" t="str">
        <x:v>Allowed changes persist and revalidate conflicts; forbidden statuses/times are rejected; original data remains on failure.</x:v>
      </x:c>
      <x:c r="J43" s="38" t="str">
        <x:v>Iter2</x:v>
      </x:c>
      <x:c r="K43" s="38" t="str">
        <x:v>Iter2</x:v>
      </x:c>
      <x:c r="L43" s="38" t="str">
        <x:v>none</x:v>
      </x:c>
      <x:c r="M43" s="38" t="str">
        <x:v>Trần Thanh Gia Huy (DE180571)</x:v>
      </x:c>
      <x:c r="N43" s="38" t="str">
        <x:v>High</x:v>
      </x:c>
      <x:c r="O43" s="38" t="str">
        <x:v>Complex</x:v>
      </x:c>
      <x:c r="P43" s="38" t="n">
        <x:v>240</x:v>
      </x:c>
      <x:c r="Q43" s="38" t="str">
        <x:v>Done</x:v>
      </x:c>
      <x:c r="R43" s="38" t="str">
        <x:v>II.5.8</x:v>
      </x:c>
      <x:c r="S43" s="38" t="str">
        <x:v>II.5.8</x:v>
      </x:c>
      <x:c r="T43" s="38" t="str">
        <x:v>EV-RES-08 / TC-RES-08</x:v>
      </x:c>
      <x:c r="U43" s="38" t="str">
        <x:v>Completed.</x:v>
      </x:c>
      <x:c r="V43" s="38" t="str">
        <x:v>Verified</x:v>
      </x:c>
    </x:row>
    <x:row r="44" ht="64" customHeight="1">
      <x:c r="A44" s="38" t="n">
        <x:v>40</x:v>
      </x:c>
      <x:c r="B44" s="38" t="str">
        <x:v>RES-09</x:v>
      </x:c>
      <x:c r="C44" s="38" t="str">
        <x:v>Cancel Reservation Rule</x:v>
      </x:c>
      <x:c r="D44" s="38" t="str">
        <x:v>Reservation Management</x:v>
      </x:c>
      <x:c r="E44" s="38" t="str">
        <x:v>Customer / Staff API</x:v>
      </x:c>
      <x:c r="F44" s="38" t="str">
        <x:v>Customer, Staff</x:v>
      </x:c>
      <x:c r="G44" s="38" t="str">
        <x:v>Cancels an eligible reservation while preserving the record and releasing table availability.</x:v>
      </x:c>
      <x:c r="H44" s="38" t="str">
        <x:v>Cancellation is status/time dependent; cancellation reason may be required for staff actions.</x:v>
      </x:c>
      <x:c r="I44" s="38" t="str">
        <x:v>Eligible cancellation updates status; repeated cancellation is idempotent; table becomes available when appropriate.</x:v>
      </x:c>
      <x:c r="J44" s="38" t="str">
        <x:v>Iter2</x:v>
      </x:c>
      <x:c r="K44" s="38" t="str">
        <x:v>Iter2</x:v>
      </x:c>
      <x:c r="L44" s="38" t="str">
        <x:v>none</x:v>
      </x:c>
      <x:c r="M44" s="38" t="str">
        <x:v>Trần Thanh Gia Huy (DE180571)</x:v>
      </x:c>
      <x:c r="N44" s="38" t="str">
        <x:v>High</x:v>
      </x:c>
      <x:c r="O44" s="38" t="str">
        <x:v>Medium</x:v>
      </x:c>
      <x:c r="P44" s="38" t="n">
        <x:v>120</x:v>
      </x:c>
      <x:c r="Q44" s="38" t="str">
        <x:v>Done</x:v>
      </x:c>
      <x:c r="R44" s="38" t="str">
        <x:v>II.5.9</x:v>
      </x:c>
      <x:c r="S44" s="38" t="str">
        <x:v>II.5.9</x:v>
      </x:c>
      <x:c r="T44" s="38" t="str">
        <x:v>EV-RES-09 / TC-RES-09</x:v>
      </x:c>
      <x:c r="U44" s="38" t="str">
        <x:v>Completed.</x:v>
      </x:c>
      <x:c r="V44" s="38" t="str">
        <x:v>Verified</x:v>
      </x:c>
    </x:row>
    <x:row r="45" ht="64" customHeight="1">
      <x:c r="A45" s="38" t="n">
        <x:v>41</x:v>
      </x:c>
      <x:c r="B45" s="38" t="str">
        <x:v>RES-10</x:v>
      </x:c>
      <x:c r="C45" s="38" t="str">
        <x:v>Admin / Staff Reservation List</x:v>
      </x:c>
      <x:c r="D45" s="38" t="str">
        <x:v>Reservation Management</x:v>
      </x:c>
      <x:c r="E45" s="38" t="str">
        <x:v>Admin/Staff Screen / API</x:v>
      </x:c>
      <x:c r="F45" s="38" t="str">
        <x:v>Admin, Staff</x:v>
      </x:c>
      <x:c r="G45" s="38" t="str">
        <x:v>Provides paginated search and filters by customer, table, date range, and reservation status.</x:v>
      </x:c>
      <x:c r="H45" s="38" t="str">
        <x:v>Access is role-restricted; date filters are inclusive and stable; sensitive customer fields are minimized.</x:v>
      </x:c>
      <x:c r="I45" s="38" t="str">
        <x:v>Authorized users can find reservations accurately; non-authorized access is rejected; export scope is controlled if used.</x:v>
      </x:c>
      <x:c r="J45" s="38" t="str">
        <x:v>Iter2</x:v>
      </x:c>
      <x:c r="K45" s="38" t="str">
        <x:v>Iter2</x:v>
      </x:c>
      <x:c r="L45" s="38" t="str">
        <x:v>Iter3</x:v>
      </x:c>
      <x:c r="M45" s="38" t="str">
        <x:v>Trần Thanh Gia Huy (DE180571)</x:v>
      </x:c>
      <x:c r="N45" s="38" t="str">
        <x:v>High</x:v>
      </x:c>
      <x:c r="O45" s="38" t="str">
        <x:v>Complex</x:v>
      </x:c>
      <x:c r="P45" s="38" t="n">
        <x:v>240</x:v>
      </x:c>
      <x:c r="Q45" s="38" t="str">
        <x:v>Updated</x:v>
      </x:c>
      <x:c r="R45" s="38" t="str">
        <x:v>II.5.10</x:v>
      </x:c>
      <x:c r="S45" s="38" t="str">
        <x:v>II.5.10</x:v>
      </x:c>
      <x:c r="T45" s="38" t="str">
        <x:v>EV-RES-10 / TC-RES-10</x:v>
      </x:c>
      <x:c r="U45" s="38" t="str">
        <x:v>Operational filters and workflow actions were added.</x:v>
      </x:c>
      <x:c r="V45" s="38" t="str">
        <x:v>Verified</x:v>
      </x:c>
    </x:row>
    <x:row r="46" ht="64" customHeight="1">
      <x:c r="A46" s="38" t="n">
        <x:v>42</x:v>
      </x:c>
      <x:c r="B46" s="38" t="str">
        <x:v>RES-11</x:v>
      </x:c>
      <x:c r="C46" s="38" t="str">
        <x:v>Confirm / Seat / Complete Reservation</x:v>
      </x:c>
      <x:c r="D46" s="38" t="str">
        <x:v>Reservation Management</x:v>
      </x:c>
      <x:c r="E46" s="38" t="str">
        <x:v>Staff API</x:v>
      </x:c>
      <x:c r="F46" s="38" t="str">
        <x:v>Staff, Admin</x:v>
      </x:c>
      <x:c r="G46" s="38" t="str">
        <x:v>Moves reservations through operational states and synchronizes the table state where required.</x:v>
      </x:c>
      <x:c r="H46" s="38" t="str">
        <x:v>Only permitted transitions are allowed; seating requires an available assigned table; completion releases the table.</x:v>
      </x:c>
      <x:c r="I46" s="38" t="str">
        <x:v>Valid transition sequence succeeds; skipped/reversed transitions fail; table status remains consistent.</x:v>
      </x:c>
      <x:c r="J46" s="38" t="str">
        <x:v>Iter2</x:v>
      </x:c>
      <x:c r="K46" s="38" t="str">
        <x:v>Iter2</x:v>
      </x:c>
      <x:c r="L46" s="38" t="str">
        <x:v>Iter3</x:v>
      </x:c>
      <x:c r="M46" s="38" t="str">
        <x:v>Trần Thanh Gia Huy (DE180571)</x:v>
      </x:c>
      <x:c r="N46" s="38" t="str">
        <x:v>High</x:v>
      </x:c>
      <x:c r="O46" s="38" t="str">
        <x:v>Complex</x:v>
      </x:c>
      <x:c r="P46" s="38" t="n">
        <x:v>240</x:v>
      </x:c>
      <x:c r="Q46" s="38" t="str">
        <x:v>Updated</x:v>
      </x:c>
      <x:c r="R46" s="38" t="str">
        <x:v>II.5.11</x:v>
      </x:c>
      <x:c r="S46" s="38" t="str">
        <x:v>II.5.11</x:v>
      </x:c>
      <x:c r="T46" s="38" t="str">
        <x:v>EV-RES-11 / TC-RES-11</x:v>
      </x:c>
      <x:c r="U46" s="38" t="str">
        <x:v>Status workflow was integrated with table operations.</x:v>
      </x:c>
      <x:c r="V46" s="38" t="str">
        <x:v>Verified</x:v>
      </x:c>
    </x:row>
    <x:row r="47" ht="64" customHeight="1">
      <x:c r="A47" s="38" t="n">
        <x:v>43</x:v>
      </x:c>
      <x:c r="B47" s="38" t="str">
        <x:v>RES-12</x:v>
      </x:c>
      <x:c r="C47" s="38" t="str">
        <x:v>No-show / Expired Reservation Handling</x:v>
      </x:c>
      <x:c r="D47" s="38" t="str">
        <x:v>Reservation Management</x:v>
      </x:c>
      <x:c r="E47" s="38" t="str">
        <x:v>Staff Function</x:v>
      </x:c>
      <x:c r="F47" s="38" t="str">
        <x:v>Staff, Admin</x:v>
      </x:c>
      <x:c r="G47" s="38" t="str">
        <x:v>Marks eligible past reservations as no-show or expired according to operational policy.</x:v>
      </x:c>
      <x:c r="H47" s="38" t="str">
        <x:v>Only past confirmed reservations qualify; changes are auditable and must not affect unrelated reservations.</x:v>
      </x:c>
      <x:c r="I47" s="38" t="str">
        <x:v>Eligible records can be marked; future/already-final records are rejected; table availability is restored.</x:v>
      </x:c>
      <x:c r="J47" s="38" t="str">
        <x:v>Iter2</x:v>
      </x:c>
      <x:c r="K47" s="38" t="str">
        <x:v>Iter2</x:v>
      </x:c>
      <x:c r="L47" s="38" t="str">
        <x:v>Iter4</x:v>
      </x:c>
      <x:c r="M47" s="38" t="str">
        <x:v>Trần Thanh Gia Huy (DE180571)</x:v>
      </x:c>
      <x:c r="N47" s="38" t="str">
        <x:v>Medium</x:v>
      </x:c>
      <x:c r="O47" s="38" t="str">
        <x:v>Medium</x:v>
      </x:c>
      <x:c r="P47" s="38" t="n">
        <x:v>120</x:v>
      </x:c>
      <x:c r="Q47" s="38" t="str">
        <x:v>Updated</x:v>
      </x:c>
      <x:c r="R47" s="38" t="str">
        <x:v>II.5.12</x:v>
      </x:c>
      <x:c r="S47" s="38" t="str">
        <x:v>II.5.12</x:v>
      </x:c>
      <x:c r="T47" s="38" t="str">
        <x:v>EV-RES-12 / TC-RES-12</x:v>
      </x:c>
      <x:c r="U47" s="38" t="str">
        <x:v>Final automation/manual policy should be confirmed in SRS.</x:v>
      </x:c>
      <x:c r="V47" s="38" t="str">
        <x:v>Verified</x:v>
      </x:c>
    </x:row>
    <x:row r="48" ht="64" customHeight="1">
      <x:c r="A48" s="38" t="n">
        <x:v>44</x:v>
      </x:c>
      <x:c r="B48" s="38" t="str">
        <x:v>SYS-01</x:v>
      </x:c>
      <x:c r="C48" s="38" t="str">
        <x:v>Standard API Response &amp; Validation Errors</x:v>
      </x:c>
      <x:c r="D48" s="38" t="str">
        <x:v>System Foundation</x:v>
      </x:c>
      <x:c r="E48" s="38" t="str">
        <x:v>Cross-cutting Backend</x:v>
      </x:c>
      <x:c r="F48" s="38" t="str">
        <x:v>All Actors</x:v>
      </x:c>
      <x:c r="G48" s="38" t="str">
        <x:v>Uses a common response/error structure for validation, business, authentication, authorization, and unexpected failures.</x:v>
      </x:c>
      <x:c r="H48" s="38" t="str">
        <x:v>Error responses include stable code, message, timestamp, and field errors where applicable; stack traces are not exposed.</x:v>
      </x:c>
      <x:c r="I48" s="38" t="str">
        <x:v>Representative APIs return the same format for success and each error class; frontend handles them without special-case crashes.</x:v>
      </x:c>
      <x:c r="J48" s="38" t="str">
        <x:v>Iter2</x:v>
      </x:c>
      <x:c r="K48" s="38" t="str">
        <x:v>Iter2</x:v>
      </x:c>
      <x:c r="L48" s="38" t="str">
        <x:v>Iter4</x:v>
      </x:c>
      <x:c r="M48" s="38" t="str">
        <x:v>Phan Nguyễn (DE191019)</x:v>
      </x:c>
      <x:c r="N48" s="38" t="str">
        <x:v>High</x:v>
      </x:c>
      <x:c r="O48" s="38" t="str">
        <x:v>Complex</x:v>
      </x:c>
      <x:c r="P48" s="38" t="n">
        <x:v>240</x:v>
      </x:c>
      <x:c r="Q48" s="38" t="str">
        <x:v>Updated</x:v>
      </x:c>
      <x:c r="R48" s="38" t="str">
        <x:v>II.6.1</x:v>
      </x:c>
      <x:c r="S48" s="38" t="str">
        <x:v>II.6.1</x:v>
      </x:c>
      <x:c r="T48" s="38" t="str">
        <x:v>EV-SYS-01 / TC-SYS-01</x:v>
      </x:c>
      <x:c r="U48" s="38" t="str">
        <x:v>Security 401/403 mapping still needs final alignment.</x:v>
      </x:c>
      <x:c r="V48" s="38" t="str">
        <x:v>Verified</x:v>
      </x:c>
    </x:row>
    <x:row r="49" ht="64" customHeight="1">
      <x:c r="A49" s="38" t="n">
        <x:v>45</x:v>
      </x:c>
      <x:c r="B49" s="38" t="str">
        <x:v>SYS-02</x:v>
      </x:c>
      <x:c r="C49" s="38" t="str">
        <x:v>Database Migration &amp; Seed for Table / Reservation</x:v>
      </x:c>
      <x:c r="D49" s="38" t="str">
        <x:v>System Foundation</x:v>
      </x:c>
      <x:c r="E49" s="38" t="str">
        <x:v>Database Migration</x:v>
      </x:c>
      <x:c r="F49" s="38" t="str">
        <x:v>Development Team</x:v>
      </x:c>
      <x:c r="G49" s="38" t="str">
        <x:v>Provides ordered migration scripts and safe reference seed data for table and reservation modules.</x:v>
      </x:c>
      <x:c r="H49" s="38" t="str">
        <x:v>Migrations run on a clean database and an existing development database; seed data uses deterministic keys and no secrets.</x:v>
      </x:c>
      <x:c r="I49" s="38" t="str">
        <x:v>Flyway/migration history is successful; schema constraints/indexes exist; application starts with the clean database.</x:v>
      </x:c>
      <x:c r="J49" s="38" t="str">
        <x:v>Iter2</x:v>
      </x:c>
      <x:c r="K49" s="38" t="str">
        <x:v>Iter2</x:v>
      </x:c>
      <x:c r="L49" s="38" t="str">
        <x:v>none</x:v>
      </x:c>
      <x:c r="M49" s="38" t="str">
        <x:v>Trần Thanh Gia Huy (DE180571)</x:v>
      </x:c>
      <x:c r="N49" s="38" t="str">
        <x:v>High</x:v>
      </x:c>
      <x:c r="O49" s="38" t="str">
        <x:v>Complex</x:v>
      </x:c>
      <x:c r="P49" s="38" t="n">
        <x:v>240</x:v>
      </x:c>
      <x:c r="Q49" s="38" t="str">
        <x:v>Done</x:v>
      </x:c>
      <x:c r="R49" s="38" t="str">
        <x:v>II.6.2</x:v>
      </x:c>
      <x:c r="S49" s="38" t="str">
        <x:v>II.6.2</x:v>
      </x:c>
      <x:c r="T49" s="38" t="str">
        <x:v>EV-SYS-02 / TC-SYS-02</x:v>
      </x:c>
      <x:c r="U49" s="38" t="str">
        <x:v>Include migration output in the release evidence.</x:v>
      </x:c>
      <x:c r="V49" s="38" t="str">
        <x:v>Verified</x:v>
      </x:c>
    </x:row>
    <x:row r="50" ht="64" customHeight="1">
      <x:c r="A50" s="38" t="n">
        <x:v>46</x:v>
      </x:c>
      <x:c r="B50" s="38" t="str">
        <x:v>CART-01</x:v>
      </x:c>
      <x:c r="C50" s="38" t="str">
        <x:v>Add Item to Cart</x:v>
      </x:c>
      <x:c r="D50" s="38" t="str">
        <x:v>Cart &amp; Order Management</x:v>
      </x:c>
      <x:c r="E50" s="38" t="str">
        <x:v>Customer UI</x:v>
      </x:c>
      <x:c r="F50" s="38" t="str">
        <x:v>Customer</x:v>
      </x:c>
      <x:c r="G50" s="38" t="str">
        <x:v>Adds an available menu item with selected quantity and notes to the customer's cart.</x:v>
      </x:c>
      <x:c r="H50" s="38" t="str">
        <x:v>Only active/available items can be added; quantity is positive and within the configured maximum.</x:v>
      </x:c>
      <x:c r="I50" s="38" t="str">
        <x:v>Valid item appears once with correct quantity; unavailable/invalid item is blocked; feedback is immediate.</x:v>
      </x:c>
      <x:c r="J50" s="38" t="str">
        <x:v>Iter3</x:v>
      </x:c>
      <x:c r="K50" s="38" t="str">
        <x:v>Iter3</x:v>
      </x:c>
      <x:c r="L50" s="38" t="str">
        <x:v>none</x:v>
      </x:c>
      <x:c r="M50" s="38" t="str">
        <x:v>Nguyễn Tiến Lộc (DE190986)</x:v>
      </x:c>
      <x:c r="N50" s="38" t="str">
        <x:v>High</x:v>
      </x:c>
      <x:c r="O50" s="38" t="str">
        <x:v>Medium</x:v>
      </x:c>
      <x:c r="P50" s="38" t="n">
        <x:v>120</x:v>
      </x:c>
      <x:c r="Q50" s="38" t="str">
        <x:v>Done</x:v>
      </x:c>
      <x:c r="R50" s="38" t="str">
        <x:v>II.7.1</x:v>
      </x:c>
      <x:c r="S50" s="38" t="str">
        <x:v>II.7.1</x:v>
      </x:c>
      <x:c r="T50" s="38" t="str">
        <x:v>EV-CART-01 / TC-CART-01</x:v>
      </x:c>
      <x:c r="U50" s="38" t="str">
        <x:v>Completed.</x:v>
      </x:c>
      <x:c r="V50" s="38" t="str">
        <x:v>Verified</x:v>
      </x:c>
    </x:row>
    <x:row r="51" ht="64" customHeight="1">
      <x:c r="A51" s="38" t="n">
        <x:v>47</x:v>
      </x:c>
      <x:c r="B51" s="38" t="str">
        <x:v>CART-02</x:v>
      </x:c>
      <x:c r="C51" s="38" t="str">
        <x:v>Update Cart Quantity &amp; Revalidate Availability</x:v>
      </x:c>
      <x:c r="D51" s="38" t="str">
        <x:v>Cart &amp; Order Management</x:v>
      </x:c>
      <x:c r="E51" s="38" t="str">
        <x:v>Customer UI / Service</x:v>
      </x:c>
      <x:c r="F51" s="38" t="str">
        <x:v>Customer</x:v>
      </x:c>
      <x:c r="G51" s="38" t="str">
        <x:v>Changes cart item quantity and rechecks current food availability and price constraints.</x:v>
      </x:c>
      <x:c r="H51" s="38" t="str">
        <x:v>Quantity cannot be zero/negative or exceed limit; unavailable items are flagged before checkout.</x:v>
      </x:c>
      <x:c r="I51" s="38" t="str">
        <x:v>Valid quantity updates subtotal; invalid quantity is rejected; unavailable items cannot proceed unnoticed.</x:v>
      </x:c>
      <x:c r="J51" s="38" t="str">
        <x:v>Iter3</x:v>
      </x:c>
      <x:c r="K51" s="38" t="str">
        <x:v>Iter3</x:v>
      </x:c>
      <x:c r="L51" s="38" t="str">
        <x:v>none</x:v>
      </x:c>
      <x:c r="M51" s="38" t="str">
        <x:v>Nguyễn Tiến Lộc (DE190986)</x:v>
      </x:c>
      <x:c r="N51" s="38" t="str">
        <x:v>High</x:v>
      </x:c>
      <x:c r="O51" s="38" t="str">
        <x:v>Medium</x:v>
      </x:c>
      <x:c r="P51" s="38" t="n">
        <x:v>120</x:v>
      </x:c>
      <x:c r="Q51" s="38" t="str">
        <x:v>Done</x:v>
      </x:c>
      <x:c r="R51" s="38" t="str">
        <x:v>II.7.2</x:v>
      </x:c>
      <x:c r="S51" s="38" t="str">
        <x:v>II.7.2</x:v>
      </x:c>
      <x:c r="T51" s="38" t="str">
        <x:v>EV-CART-02 / TC-CART-02</x:v>
      </x:c>
      <x:c r="U51" s="38" t="str">
        <x:v>Completed.</x:v>
      </x:c>
      <x:c r="V51" s="38" t="str">
        <x:v>Verified</x:v>
      </x:c>
    </x:row>
    <x:row r="52" ht="64" customHeight="1">
      <x:c r="A52" s="38" t="n">
        <x:v>48</x:v>
      </x:c>
      <x:c r="B52" s="38" t="str">
        <x:v>CART-03</x:v>
      </x:c>
      <x:c r="C52" s="38" t="str">
        <x:v>Remove Item / Clear Cart</x:v>
      </x:c>
      <x:c r="D52" s="38" t="str">
        <x:v>Cart &amp; Order Management</x:v>
      </x:c>
      <x:c r="E52" s="38" t="str">
        <x:v>Customer UI</x:v>
      </x:c>
      <x:c r="F52" s="38" t="str">
        <x:v>Customer</x:v>
      </x:c>
      <x:c r="G52" s="38" t="str">
        <x:v>Removes one item or clears all cart items with confirmation where appropriate.</x:v>
      </x:c>
      <x:c r="H52" s="38" t="str">
        <x:v>Removing/clearing affects only the current customer/session; operation is idempotent.</x:v>
      </x:c>
      <x:c r="I52" s="38" t="str">
        <x:v>Selected item is removed; clear empties the cart; repeated actions do not cause errors.</x:v>
      </x:c>
      <x:c r="J52" s="38" t="str">
        <x:v>Iter3</x:v>
      </x:c>
      <x:c r="K52" s="38" t="str">
        <x:v>Iter3</x:v>
      </x:c>
      <x:c r="L52" s="38" t="str">
        <x:v>none</x:v>
      </x:c>
      <x:c r="M52" s="38" t="str">
        <x:v>Nguyễn Tiến Lộc (DE190986)</x:v>
      </x:c>
      <x:c r="N52" s="38" t="str">
        <x:v>Medium</x:v>
      </x:c>
      <x:c r="O52" s="38" t="str">
        <x:v>Simple</x:v>
      </x:c>
      <x:c r="P52" s="38" t="n">
        <x:v>60</x:v>
      </x:c>
      <x:c r="Q52" s="38" t="str">
        <x:v>Done</x:v>
      </x:c>
      <x:c r="R52" s="38" t="str">
        <x:v>II.7.3</x:v>
      </x:c>
      <x:c r="S52" s="38" t="str">
        <x:v>II.7.3</x:v>
      </x:c>
      <x:c r="T52" s="38" t="str">
        <x:v>EV-CART-03 / TC-CART-03</x:v>
      </x:c>
      <x:c r="U52" s="38" t="str">
        <x:v>Completed.</x:v>
      </x:c>
      <x:c r="V52" s="38" t="str">
        <x:v>Verified</x:v>
      </x:c>
    </x:row>
    <x:row r="53" ht="64" customHeight="1">
      <x:c r="A53" s="38" t="n">
        <x:v>49</x:v>
      </x:c>
      <x:c r="B53" s="38" t="str">
        <x:v>CART-04</x:v>
      </x:c>
      <x:c r="C53" s="38" t="str">
        <x:v>Cart Subtotal Calculation</x:v>
      </x:c>
      <x:c r="D53" s="38" t="str">
        <x:v>Cart &amp; Order Management</x:v>
      </x:c>
      <x:c r="E53" s="38" t="str">
        <x:v>Business Calculation</x:v>
      </x:c>
      <x:c r="F53" s="38" t="str">
        <x:v>Customer</x:v>
      </x:c>
      <x:c r="G53" s="38" t="str">
        <x:v>Calculates subtotal from current authoritative food price and quantity before discounts and payment.</x:v>
      </x:c>
      <x:c r="H53" s="38" t="str">
        <x:v>Money uses DECIMAL precision; client-calculated totals are display-only and never trusted by order creation.</x:v>
      </x:c>
      <x:c r="I53" s="38" t="str">
        <x:v>Subtotal matches server calculation for multiple items/quantities; decimal rounding follows policy.</x:v>
      </x:c>
      <x:c r="J53" s="38" t="str">
        <x:v>Iter3</x:v>
      </x:c>
      <x:c r="K53" s="38" t="str">
        <x:v>Iter3</x:v>
      </x:c>
      <x:c r="L53" s="38" t="str">
        <x:v>none</x:v>
      </x:c>
      <x:c r="M53" s="38" t="str">
        <x:v>Nguyễn Tiến Lộc (DE190986)</x:v>
      </x:c>
      <x:c r="N53" s="38" t="str">
        <x:v>Critical</x:v>
      </x:c>
      <x:c r="O53" s="38" t="str">
        <x:v>Complex</x:v>
      </x:c>
      <x:c r="P53" s="38" t="n">
        <x:v>240</x:v>
      </x:c>
      <x:c r="Q53" s="38" t="str">
        <x:v>Done</x:v>
      </x:c>
      <x:c r="R53" s="38" t="str">
        <x:v>II.7.4</x:v>
      </x:c>
      <x:c r="S53" s="38" t="str">
        <x:v>II.7.4</x:v>
      </x:c>
      <x:c r="T53" s="38" t="str">
        <x:v>EV-CART-04 / TC-CART-04</x:v>
      </x:c>
      <x:c r="U53" s="38" t="str">
        <x:v>Server total must remain the source of truth.</x:v>
      </x:c>
      <x:c r="V53" s="38" t="str">
        <x:v>Verified</x:v>
      </x:c>
    </x:row>
    <x:row r="54" ht="64" customHeight="1">
      <x:c r="A54" s="38" t="n">
        <x:v>50</x:v>
      </x:c>
      <x:c r="B54" s="38" t="str">
        <x:v>CART-05</x:v>
      </x:c>
      <x:c r="C54" s="38" t="str">
        <x:v>Cart Persistence Across Navigation / Session</x:v>
      </x:c>
      <x:c r="D54" s="38" t="str">
        <x:v>Cart &amp; Order Management</x:v>
      </x:c>
      <x:c r="E54" s="38" t="str">
        <x:v>Customer UI / Persistence</x:v>
      </x:c>
      <x:c r="F54" s="38" t="str">
        <x:v>Customer</x:v>
      </x:c>
      <x:c r="G54" s="38" t="str">
        <x:v>Preserves the cart across page navigation and expected session lifecycle while keeping it scoped to the current user.</x:v>
      </x:c>
      <x:c r="H54" s="38" t="str">
        <x:v>One user's cart is never exposed to another; stale items are revalidated before checkout.</x:v>
      </x:c>
      <x:c r="I54" s="38" t="str">
        <x:v>Cart survives expected navigation/refresh; logout/user switch does not leak items; stale data is handled.</x:v>
      </x:c>
      <x:c r="J54" s="38" t="str">
        <x:v>Iter3</x:v>
      </x:c>
      <x:c r="K54" s="38" t="str">
        <x:v>Iter3</x:v>
      </x:c>
      <x:c r="L54" s="38" t="str">
        <x:v>none</x:v>
      </x:c>
      <x:c r="M54" s="38" t="str">
        <x:v>Nguyễn Đức Thương (DE190096)</x:v>
      </x:c>
      <x:c r="N54" s="38" t="str">
        <x:v>Medium</x:v>
      </x:c>
      <x:c r="O54" s="38" t="str">
        <x:v>Complex</x:v>
      </x:c>
      <x:c r="P54" s="38" t="n">
        <x:v>240</x:v>
      </x:c>
      <x:c r="Q54" s="38" t="str">
        <x:v>Done</x:v>
      </x:c>
      <x:c r="R54" s="38" t="str">
        <x:v>II.7.5</x:v>
      </x:c>
      <x:c r="S54" s="38" t="str">
        <x:v>II.7.5</x:v>
      </x:c>
      <x:c r="T54" s="38" t="str">
        <x:v>EV-CART-05 / TC-CART-05</x:v>
      </x:c>
      <x:c r="U54" s="38" t="str">
        <x:v>Completed.</x:v>
      </x:c>
      <x:c r="V54" s="38" t="str">
        <x:v>Verified</x:v>
      </x:c>
    </x:row>
    <x:row r="55" ht="64" customHeight="1">
      <x:c r="A55" s="38" t="n">
        <x:v>51</x:v>
      </x:c>
      <x:c r="B55" s="38" t="str">
        <x:v>ORDER-01</x:v>
      </x:c>
      <x:c r="C55" s="38" t="str">
        <x:v>Checkout Form &amp; Order Notes</x:v>
      </x:c>
      <x:c r="D55" s="38" t="str">
        <x:v>Cart &amp; Order Management</x:v>
      </x:c>
      <x:c r="E55" s="38" t="str">
        <x:v>Customer UI</x:v>
      </x:c>
      <x:c r="F55" s="38" t="str">
        <x:v>Customer</x:v>
      </x:c>
      <x:c r="G55" s="38" t="str">
        <x:v>Displays order summary and captures dining/table information, contact details, and order notes before submission.</x:v>
      </x:c>
      <x:c r="H55" s="38" t="str">
        <x:v>Required fields depend on order type; notes have length limits; final values are revalidated by backend.</x:v>
      </x:c>
      <x:c r="I55" s="38" t="str">
        <x:v>Customer can review accurate items/subtotal; invalid checkout data is blocked; submission occurs once.</x:v>
      </x:c>
      <x:c r="J55" s="38" t="str">
        <x:v>Iter3</x:v>
      </x:c>
      <x:c r="K55" s="38" t="str">
        <x:v>Iter3</x:v>
      </x:c>
      <x:c r="L55" s="38" t="str">
        <x:v>none</x:v>
      </x:c>
      <x:c r="M55" s="38" t="str">
        <x:v>Nguyễn Đức Thương (DE190096)</x:v>
      </x:c>
      <x:c r="N55" s="38" t="str">
        <x:v>High</x:v>
      </x:c>
      <x:c r="O55" s="38" t="str">
        <x:v>Medium</x:v>
      </x:c>
      <x:c r="P55" s="38" t="n">
        <x:v>120</x:v>
      </x:c>
      <x:c r="Q55" s="38" t="str">
        <x:v>Done</x:v>
      </x:c>
      <x:c r="R55" s="38" t="str">
        <x:v>II.8.1</x:v>
      </x:c>
      <x:c r="S55" s="38" t="str">
        <x:v>II.8.1</x:v>
      </x:c>
      <x:c r="T55" s="38" t="str">
        <x:v>EV-ORDER-01 / TC-ORDER-01</x:v>
      </x:c>
      <x:c r="U55" s="38" t="str">
        <x:v>Completed.</x:v>
      </x:c>
      <x:c r="V55" s="38" t="str">
        <x:v>Verified</x:v>
      </x:c>
    </x:row>
    <x:row r="56" ht="64" customHeight="1">
      <x:c r="A56" s="38" t="n">
        <x:v>52</x:v>
      </x:c>
      <x:c r="B56" s="38" t="str">
        <x:v>ORDER-02</x:v>
      </x:c>
      <x:c r="C56" s="38" t="str">
        <x:v>Server-side Create Order Transaction</x:v>
      </x:c>
      <x:c r="D56" s="38" t="str">
        <x:v>Cart &amp; Order Management</x:v>
      </x:c>
      <x:c r="E56" s="38" t="str">
        <x:v>Backend Service / DB</x:v>
      </x:c>
      <x:c r="F56" s="38" t="str">
        <x:v>Customer, Staff</x:v>
      </x:c>
      <x:c r="G56" s="38" t="str">
        <x:v>Creates order header and items atomically after validating identity, food availability, table/order type, and prices.</x:v>
      </x:c>
      <x:c r="H56" s="38" t="str">
        <x:v>All items succeed or the transaction rolls back; order ownership/creator comes from authenticated context.</x:v>
      </x:c>
      <x:c r="I56" s="38" t="str">
        <x:v>Successful order contains complete header/items; any invalid item causes full rollback; duplicate submission is controlled.</x:v>
      </x:c>
      <x:c r="J56" s="38" t="str">
        <x:v>Iter3</x:v>
      </x:c>
      <x:c r="K56" s="38" t="str">
        <x:v>Iter3</x:v>
      </x:c>
      <x:c r="L56" s="38" t="str">
        <x:v>Iter4</x:v>
      </x:c>
      <x:c r="M56" s="38" t="str">
        <x:v>Nguyễn Tiến Lộc (DE190986)</x:v>
      </x:c>
      <x:c r="N56" s="38" t="str">
        <x:v>Critical</x:v>
      </x:c>
      <x:c r="O56" s="38" t="str">
        <x:v>Complex</x:v>
      </x:c>
      <x:c r="P56" s="38" t="n">
        <x:v>240</x:v>
      </x:c>
      <x:c r="Q56" s="38" t="str">
        <x:v>Updated</x:v>
      </x:c>
      <x:c r="R56" s="38" t="str">
        <x:v>II.8.2</x:v>
      </x:c>
      <x:c r="S56" s="38" t="str">
        <x:v>II.8.2</x:v>
      </x:c>
      <x:c r="T56" s="38" t="str">
        <x:v>EV-ORDER-02 / TC-ORDER-02</x:v>
      </x:c>
      <x:c r="U56" s="38" t="str">
        <x:v>Coupon and payment integration are tracked as separate gaps.</x:v>
      </x:c>
      <x:c r="V56" s="38" t="str">
        <x:v>Verified</x:v>
      </x:c>
    </x:row>
    <x:row r="57" ht="64" customHeight="1">
      <x:c r="A57" s="38" t="n">
        <x:v>53</x:v>
      </x:c>
      <x:c r="B57" s="38" t="str">
        <x:v>ORDER-03</x:v>
      </x:c>
      <x:c r="C57" s="38" t="str">
        <x:v>Persist Order Items &amp; Price Snapshot</x:v>
      </x:c>
      <x:c r="D57" s="38" t="str">
        <x:v>Cart &amp; Order Management</x:v>
      </x:c>
      <x:c r="E57" s="38" t="str">
        <x:v>Database / Service</x:v>
      </x:c>
      <x:c r="F57" s="38" t="str">
        <x:v>Customer, Staff</x:v>
      </x:c>
      <x:c r="G57" s="38" t="str">
        <x:v>Stores each ordered item with quantity, unit price snapshot, notes, and relationship to the order.</x:v>
      </x:c>
      <x:c r="H57" s="38" t="str">
        <x:v>Historical prices do not change when menu prices are edited; quantity and unit price are positive.</x:v>
      </x:c>
      <x:c r="I57" s="38" t="str">
        <x:v>Order details reproduce the original order after menu updates; database relationships and totals reconcile.</x:v>
      </x:c>
      <x:c r="J57" s="38" t="str">
        <x:v>Iter3</x:v>
      </x:c>
      <x:c r="K57" s="38" t="str">
        <x:v>Iter3</x:v>
      </x:c>
      <x:c r="L57" s="38" t="str">
        <x:v>none</x:v>
      </x:c>
      <x:c r="M57" s="38" t="str">
        <x:v>Nguyễn Tiến Lộc (DE190986)</x:v>
      </x:c>
      <x:c r="N57" s="38" t="str">
        <x:v>Critical</x:v>
      </x:c>
      <x:c r="O57" s="38" t="str">
        <x:v>Complex</x:v>
      </x:c>
      <x:c r="P57" s="38" t="n">
        <x:v>240</x:v>
      </x:c>
      <x:c r="Q57" s="38" t="str">
        <x:v>Done</x:v>
      </x:c>
      <x:c r="R57" s="38" t="str">
        <x:v>II.8.3</x:v>
      </x:c>
      <x:c r="S57" s="38" t="str">
        <x:v>II.8.3</x:v>
      </x:c>
      <x:c r="T57" s="38" t="str">
        <x:v>EV-ORDER-03 / TC-ORDER-03</x:v>
      </x:c>
      <x:c r="U57" s="38" t="str">
        <x:v>Completed.</x:v>
      </x:c>
      <x:c r="V57" s="38" t="str">
        <x:v>Verified</x:v>
      </x:c>
    </x:row>
    <x:row r="58" ht="64" customHeight="1">
      <x:c r="A58" s="38" t="n">
        <x:v>54</x:v>
      </x:c>
      <x:c r="B58" s="38" t="str">
        <x:v>ORDER-04</x:v>
      </x:c>
      <x:c r="C58" s="38" t="str">
        <x:v>Recalculate Final Total &amp; Reject Client Manipulation</x:v>
      </x:c>
      <x:c r="D58" s="38" t="str">
        <x:v>Cart &amp; Order Management</x:v>
      </x:c>
      <x:c r="E58" s="38" t="str">
        <x:v>Business Service</x:v>
      </x:c>
      <x:c r="F58" s="38" t="str">
        <x:v>Customer, Staff</x:v>
      </x:c>
      <x:c r="G58" s="38" t="str">
        <x:v>Recalculates subtotal, discount, and final amount from database values rather than accepting client totals.</x:v>
      </x:c>
      <x:c r="H58" s="38" t="str">
        <x:v>Discount cannot exceed permitted amount; monetary fields use fixed precision; invalid coupon/payment state is rejected.</x:v>
      </x:c>
      <x:c r="I58" s="38" t="str">
        <x:v>Manipulated client total is ignored; persisted total matches server calculation; tests cover rounding and invalid discounts.</x:v>
      </x:c>
      <x:c r="J58" s="38" t="str">
        <x:v>Iter3</x:v>
      </x:c>
      <x:c r="K58" s="38" t="str">
        <x:v>Iter3</x:v>
      </x:c>
      <x:c r="L58" s="38" t="str">
        <x:v>Iter4</x:v>
      </x:c>
      <x:c r="M58" s="38" t="str">
        <x:v>Nguyễn Tiến Lộc (DE190986)</x:v>
      </x:c>
      <x:c r="N58" s="38" t="str">
        <x:v>Critical</x:v>
      </x:c>
      <x:c r="O58" s="38" t="str">
        <x:v>Complex</x:v>
      </x:c>
      <x:c r="P58" s="38" t="n">
        <x:v>240</x:v>
      </x:c>
      <x:c r="Q58" s="38" t="str">
        <x:v>Doing</x:v>
      </x:c>
      <x:c r="R58" s="38" t="str">
        <x:v>II.8.4</x:v>
      </x:c>
      <x:c r="S58" s="38" t="str">
        <x:v>II.8.4</x:v>
      </x:c>
      <x:c r="T58" s="38" t="str">
        <x:v>EV-ORDER-04 / TC-ORDER-04</x:v>
      </x:c>
      <x:c r="U58" s="38" t="str">
        <x:v>Blocked by complete server-side coupon implementation.</x:v>
      </x:c>
      <x:c r="V58" s="38" t="str">
        <x:v>Partial</x:v>
      </x:c>
    </x:row>
    <x:row r="59" ht="64" customHeight="1">
      <x:c r="A59" s="38" t="n">
        <x:v>55</x:v>
      </x:c>
      <x:c r="B59" s="38" t="str">
        <x:v>ORDER-05</x:v>
      </x:c>
      <x:c r="C59" s="38" t="str">
        <x:v>View Own Order History</x:v>
      </x:c>
      <x:c r="D59" s="38" t="str">
        <x:v>Cart &amp; Order Management</x:v>
      </x:c>
      <x:c r="E59" s="38" t="str">
        <x:v>Customer Screen / API</x:v>
      </x:c>
      <x:c r="F59" s="38" t="str">
        <x:v>Customer</x:v>
      </x:c>
      <x:c r="G59" s="38" t="str">
        <x:v>Lists current and previous orders for the authenticated customer with status, time, and amount summary.</x:v>
      </x:c>
      <x:c r="H59" s="38" t="str">
        <x:v>Only owned orders are returned; pagination and sorting are deterministic.</x:v>
      </x:c>
      <x:c r="I59" s="38" t="str">
        <x:v>Customer sees only own orders; status and totals match database; filters/no-data work.</x:v>
      </x:c>
      <x:c r="J59" s="38" t="str">
        <x:v>Iter3</x:v>
      </x:c>
      <x:c r="K59" s="38" t="str">
        <x:v>Iter3</x:v>
      </x:c>
      <x:c r="L59" s="38" t="str">
        <x:v>none</x:v>
      </x:c>
      <x:c r="M59" s="38" t="str">
        <x:v>Nguyễn Tiến Lộc (DE190986)</x:v>
      </x:c>
      <x:c r="N59" s="38" t="str">
        <x:v>High</x:v>
      </x:c>
      <x:c r="O59" s="38" t="str">
        <x:v>Complex</x:v>
      </x:c>
      <x:c r="P59" s="38" t="n">
        <x:v>240</x:v>
      </x:c>
      <x:c r="Q59" s="38" t="str">
        <x:v>Done</x:v>
      </x:c>
      <x:c r="R59" s="38" t="str">
        <x:v>II.8.5</x:v>
      </x:c>
      <x:c r="S59" s="38" t="str">
        <x:v>II.8.5</x:v>
      </x:c>
      <x:c r="T59" s="38" t="str">
        <x:v>EV-ORDER-05 / TC-ORDER-05</x:v>
      </x:c>
      <x:c r="U59" s="38" t="str">
        <x:v>Completed.</x:v>
      </x:c>
      <x:c r="V59" s="38" t="str">
        <x:v>Verified</x:v>
      </x:c>
    </x:row>
    <x:row r="60" ht="64" customHeight="1">
      <x:c r="A60" s="38" t="n">
        <x:v>56</x:v>
      </x:c>
      <x:c r="B60" s="38" t="str">
        <x:v>ORDER-06</x:v>
      </x:c>
      <x:c r="C60" s="38" t="str">
        <x:v>View Own Order Detail</x:v>
      </x:c>
      <x:c r="D60" s="38" t="str">
        <x:v>Cart &amp; Order Management</x:v>
      </x:c>
      <x:c r="E60" s="38" t="str">
        <x:v>Customer Screen / API</x:v>
      </x:c>
      <x:c r="F60" s="38" t="str">
        <x:v>Customer</x:v>
      </x:c>
      <x:c r="G60" s="38" t="str">
        <x:v>Displays order items, price breakdown, status history, payment/invoice availability, and notes.</x:v>
      </x:c>
      <x:c r="H60" s="38" t="str">
        <x:v>Ownership is enforced; price breakdown comes from persisted authoritative values.</x:v>
      </x:c>
      <x:c r="I60" s="38" t="str">
        <x:v>Owned order detail loads accurately; other customers cannot access it; invoice link appears only when issued.</x:v>
      </x:c>
      <x:c r="J60" s="38" t="str">
        <x:v>Iter3</x:v>
      </x:c>
      <x:c r="K60" s="38" t="str">
        <x:v>Iter3</x:v>
      </x:c>
      <x:c r="L60" s="38" t="str">
        <x:v>none</x:v>
      </x:c>
      <x:c r="M60" s="38" t="str">
        <x:v>Nguyễn Đức Thương (DE190096)</x:v>
      </x:c>
      <x:c r="N60" s="38" t="str">
        <x:v>High</x:v>
      </x:c>
      <x:c r="O60" s="38" t="str">
        <x:v>Medium</x:v>
      </x:c>
      <x:c r="P60" s="38" t="n">
        <x:v>120</x:v>
      </x:c>
      <x:c r="Q60" s="38" t="str">
        <x:v>Done</x:v>
      </x:c>
      <x:c r="R60" s="38" t="str">
        <x:v>II.8.6</x:v>
      </x:c>
      <x:c r="S60" s="38" t="str">
        <x:v>II.8.6</x:v>
      </x:c>
      <x:c r="T60" s="38" t="str">
        <x:v>EV-ORDER-06 / TC-ORDER-06</x:v>
      </x:c>
      <x:c r="U60" s="38" t="str">
        <x:v>Payment/invoice section remains conditional.</x:v>
      </x:c>
      <x:c r="V60" s="38" t="str">
        <x:v>Verified</x:v>
      </x:c>
    </x:row>
    <x:row r="61" ht="64" customHeight="1">
      <x:c r="A61" s="38" t="n">
        <x:v>57</x:v>
      </x:c>
      <x:c r="B61" s="38" t="str">
        <x:v>ORDER-07</x:v>
      </x:c>
      <x:c r="C61" s="38" t="str">
        <x:v>Order Ownership Authorization</x:v>
      </x:c>
      <x:c r="D61" s="38" t="str">
        <x:v>Cart &amp; Order Management</x:v>
      </x:c>
      <x:c r="E61" s="38" t="str">
        <x:v>Authorization Policy</x:v>
      </x:c>
      <x:c r="F61" s="38" t="str">
        <x:v>Customer</x:v>
      </x:c>
      <x:c r="G61" s="38" t="str">
        <x:v>Protects order history, detail, cancellation, payment, invoice, and feedback operations by authenticated ownership.</x:v>
      </x:c>
      <x:c r="H61" s="38" t="str">
        <x:v>Customer cannot act on another customer's order; staff/admin access follows explicit operational roles.</x:v>
      </x:c>
      <x:c r="I61" s="38" t="str">
        <x:v>ID-guessing tests return 403/404; authorized owner and allowed staff roles succeed.</x:v>
      </x:c>
      <x:c r="J61" s="38" t="str">
        <x:v>Iter3</x:v>
      </x:c>
      <x:c r="K61" s="38" t="str">
        <x:v>Iter3</x:v>
      </x:c>
      <x:c r="L61" s="38" t="str">
        <x:v>none</x:v>
      </x:c>
      <x:c r="M61" s="38" t="str">
        <x:v>Phạm Văn Quyết (DE190425)</x:v>
      </x:c>
      <x:c r="N61" s="38" t="str">
        <x:v>Critical</x:v>
      </x:c>
      <x:c r="O61" s="38" t="str">
        <x:v>Complex</x:v>
      </x:c>
      <x:c r="P61" s="38" t="n">
        <x:v>240</x:v>
      </x:c>
      <x:c r="Q61" s="38" t="str">
        <x:v>Done</x:v>
      </x:c>
      <x:c r="R61" s="38" t="str">
        <x:v>II.8.7</x:v>
      </x:c>
      <x:c r="S61" s="38" t="str">
        <x:v>II.8.7</x:v>
      </x:c>
      <x:c r="T61" s="38" t="str">
        <x:v>EV-ORDER-07 / TC-ORDER-07</x:v>
      </x:c>
      <x:c r="U61" s="38" t="str">
        <x:v>Must be reverified after final JWT authorization changes.</x:v>
      </x:c>
      <x:c r="V61" s="38" t="str">
        <x:v>Verified</x:v>
      </x:c>
    </x:row>
    <x:row r="62" ht="64" customHeight="1">
      <x:c r="A62" s="38" t="n">
        <x:v>58</x:v>
      </x:c>
      <x:c r="B62" s="38" t="str">
        <x:v>ORDER-08</x:v>
      </x:c>
      <x:c r="C62" s="38" t="str">
        <x:v>Staff Counter Order Creation</x:v>
      </x:c>
      <x:c r="D62" s="38" t="str">
        <x:v>Staff Operations</x:v>
      </x:c>
      <x:c r="E62" s="38" t="str">
        <x:v>Staff Screen / API</x:v>
      </x:c>
      <x:c r="F62" s="38" t="str">
        <x:v>Staff</x:v>
      </x:c>
      <x:c r="G62" s="38" t="str">
        <x:v>Allows staff to create an order for walk-in or seated customers using live menu and optional table selection.</x:v>
      </x:c>
      <x:c r="H62" s="38" t="str">
        <x:v>Staff identity is recorded; table must be eligible; unavailable foods and manipulated prices are rejected.</x:v>
      </x:c>
      <x:c r="I62" s="38" t="str">
        <x:v>Staff can create a valid order; order appears in staff/kitchen flows; invalid table/item input rolls back.</x:v>
      </x:c>
      <x:c r="J62" s="38" t="str">
        <x:v>Iter3</x:v>
      </x:c>
      <x:c r="K62" s="38" t="str">
        <x:v>Iter3</x:v>
      </x:c>
      <x:c r="L62" s="38" t="str">
        <x:v>none</x:v>
      </x:c>
      <x:c r="M62" s="38" t="str">
        <x:v>Nguyễn Tiến Lộc (DE190986)</x:v>
      </x:c>
      <x:c r="N62" s="38" t="str">
        <x:v>High</x:v>
      </x:c>
      <x:c r="O62" s="38" t="str">
        <x:v>Complex</x:v>
      </x:c>
      <x:c r="P62" s="38" t="n">
        <x:v>240</x:v>
      </x:c>
      <x:c r="Q62" s="38" t="str">
        <x:v>Done</x:v>
      </x:c>
      <x:c r="R62" s="38" t="str">
        <x:v>II.8.8</x:v>
      </x:c>
      <x:c r="S62" s="38" t="str">
        <x:v>II.8.8</x:v>
      </x:c>
      <x:c r="T62" s="38" t="str">
        <x:v>EV-ORDER-08 / TC-ORDER-08</x:v>
      </x:c>
      <x:c r="U62" s="38" t="str">
        <x:v>Completed.</x:v>
      </x:c>
      <x:c r="V62" s="38" t="str">
        <x:v>Verified</x:v>
      </x:c>
    </x:row>
    <x:row r="63" ht="64" customHeight="1">
      <x:c r="A63" s="38" t="n">
        <x:v>59</x:v>
      </x:c>
      <x:c r="B63" s="38" t="str">
        <x:v>ORDER-09</x:v>
      </x:c>
      <x:c r="C63" s="38" t="str">
        <x:v>Admin / Staff Order List &amp; Filters</x:v>
      </x:c>
      <x:c r="D63" s="38" t="str">
        <x:v>Staff Operations</x:v>
      </x:c>
      <x:c r="E63" s="38" t="str">
        <x:v>Admin/Staff Screen / API</x:v>
      </x:c>
      <x:c r="F63" s="38" t="str">
        <x:v>Admin, Staff</x:v>
      </x:c>
      <x:c r="G63" s="38" t="str">
        <x:v>Provides order search and filters by date, status, customer, table, staff, and payment state.</x:v>
      </x:c>
      <x:c r="H63" s="38" t="str">
        <x:v>Role restrictions and pagination apply; revenue-sensitive fields are limited to authorized roles.</x:v>
      </x:c>
      <x:c r="I63" s="38" t="str">
        <x:v>Filters return correct orders; list updates after status/payment changes; non-authorized access is blocked.</x:v>
      </x:c>
      <x:c r="J63" s="38" t="str">
        <x:v>Iter3</x:v>
      </x:c>
      <x:c r="K63" s="38" t="str">
        <x:v>Iter3</x:v>
      </x:c>
      <x:c r="L63" s="38" t="str">
        <x:v>Iter4</x:v>
      </x:c>
      <x:c r="M63" s="38" t="str">
        <x:v>Phan Nguyễn (DE191019)</x:v>
      </x:c>
      <x:c r="N63" s="38" t="str">
        <x:v>High</x:v>
      </x:c>
      <x:c r="O63" s="38" t="str">
        <x:v>Complex</x:v>
      </x:c>
      <x:c r="P63" s="38" t="n">
        <x:v>240</x:v>
      </x:c>
      <x:c r="Q63" s="38" t="str">
        <x:v>Updated</x:v>
      </x:c>
      <x:c r="R63" s="38" t="str">
        <x:v>II.8.9</x:v>
      </x:c>
      <x:c r="S63" s="38" t="str">
        <x:v>II.8.9</x:v>
      </x:c>
      <x:c r="T63" s="38" t="str">
        <x:v>EV-ORDER-09 / TC-ORDER-09</x:v>
      </x:c>
      <x:c r="U63" s="38" t="str">
        <x:v>Payment filter must be finalized after payment persistence.</x:v>
      </x:c>
      <x:c r="V63" s="38" t="str">
        <x:v>Verified</x:v>
      </x:c>
    </x:row>
    <x:row r="64" ht="64" customHeight="1">
      <x:c r="A64" s="38" t="n">
        <x:v>60</x:v>
      </x:c>
      <x:c r="B64" s="38" t="str">
        <x:v>ORDER-10</x:v>
      </x:c>
      <x:c r="C64" s="38" t="str">
        <x:v>Controlled Order Status Transitions</x:v>
      </x:c>
      <x:c r="D64" s="38" t="str">
        <x:v>Staff Operations</x:v>
      </x:c>
      <x:c r="E64" s="38" t="str">
        <x:v>Backend Service</x:v>
      </x:c>
      <x:c r="F64" s="38" t="str">
        <x:v>Admin, Staff, Kitchen Staff</x:v>
      </x:c>
      <x:c r="G64" s="38" t="str">
        <x:v>Moves orders through allowed states such as pending, confirmed, preparing, ready, served, completed, or cancelled.</x:v>
      </x:c>
      <x:c r="H64" s="38" t="str">
        <x:v>Transitions follow a defined state machine; completed/cancelled orders are final except authorized correction policy.</x:v>
      </x:c>
      <x:c r="I64" s="38" t="str">
        <x:v>Valid sequence succeeds; invalid jumps/reversal fail; kitchen/table/payment side effects remain consistent.</x:v>
      </x:c>
      <x:c r="J64" s="38" t="str">
        <x:v>Iter3</x:v>
      </x:c>
      <x:c r="K64" s="38" t="str">
        <x:v>Iter3</x:v>
      </x:c>
      <x:c r="L64" s="38" t="str">
        <x:v>Iter4</x:v>
      </x:c>
      <x:c r="M64" s="38" t="str">
        <x:v>Nguyễn Tiến Lộc (DE190986)</x:v>
      </x:c>
      <x:c r="N64" s="38" t="str">
        <x:v>Critical</x:v>
      </x:c>
      <x:c r="O64" s="38" t="str">
        <x:v>Complex</x:v>
      </x:c>
      <x:c r="P64" s="38" t="n">
        <x:v>240</x:v>
      </x:c>
      <x:c r="Q64" s="38" t="str">
        <x:v>Updated</x:v>
      </x:c>
      <x:c r="R64" s="38" t="str">
        <x:v>II.8.10</x:v>
      </x:c>
      <x:c r="S64" s="38" t="str">
        <x:v>II.8.10</x:v>
      </x:c>
      <x:c r="T64" s="38" t="str">
        <x:v>EV-ORDER-10 / TC-ORDER-10</x:v>
      </x:c>
      <x:c r="U64" s="38" t="str">
        <x:v>Completion must be tied to persisted successful payment.</x:v>
      </x:c>
      <x:c r="V64" s="38" t="str">
        <x:v>Verified</x:v>
      </x:c>
    </x:row>
    <x:row r="65" ht="64" customHeight="1">
      <x:c r="A65" s="38" t="n">
        <x:v>61</x:v>
      </x:c>
      <x:c r="B65" s="38" t="str">
        <x:v>STAFF-01</x:v>
      </x:c>
      <x:c r="C65" s="38" t="str">
        <x:v>Assign Tables to Staff</x:v>
      </x:c>
      <x:c r="D65" s="38" t="str">
        <x:v>Staff Operations</x:v>
      </x:c>
      <x:c r="E65" s="38" t="str">
        <x:v>Admin/Staff Screen / API</x:v>
      </x:c>
      <x:c r="F65" s="38" t="str">
        <x:v>Admin, Staff</x:v>
      </x:c>
      <x:c r="G65" s="38" t="str">
        <x:v>Creates time-bounded staff-to-table assignments used by the service workspace.</x:v>
      </x:c>
      <x:c r="H65" s="38" t="str">
        <x:v>Staff/table must be active; assignment times are valid; assignment creator is auditable.</x:v>
      </x:c>
      <x:c r="I65" s="38" t="str">
        <x:v>Valid assignment appears in workspace; invalid/inactive references are rejected; history is retained.</x:v>
      </x:c>
      <x:c r="J65" s="38" t="str">
        <x:v>Iter3</x:v>
      </x:c>
      <x:c r="K65" s="38" t="str">
        <x:v>Iter3</x:v>
      </x:c>
      <x:c r="L65" s="38" t="str">
        <x:v>none</x:v>
      </x:c>
      <x:c r="M65" s="38" t="str">
        <x:v>Trần Thanh Gia Huy (DE180571)</x:v>
      </x:c>
      <x:c r="N65" s="38" t="str">
        <x:v>High</x:v>
      </x:c>
      <x:c r="O65" s="38" t="str">
        <x:v>Complex</x:v>
      </x:c>
      <x:c r="P65" s="38" t="n">
        <x:v>240</x:v>
      </x:c>
      <x:c r="Q65" s="38" t="str">
        <x:v>Done</x:v>
      </x:c>
      <x:c r="R65" s="38" t="str">
        <x:v>II.9.1</x:v>
      </x:c>
      <x:c r="S65" s="38" t="str">
        <x:v>II.9.1</x:v>
      </x:c>
      <x:c r="T65" s="38" t="str">
        <x:v>EV-STAFF-01 / TC-STAFF-01</x:v>
      </x:c>
      <x:c r="U65" s="38" t="str">
        <x:v>Completed.</x:v>
      </x:c>
      <x:c r="V65" s="38" t="str">
        <x:v>Verified</x:v>
      </x:c>
    </x:row>
    <x:row r="66" ht="64" customHeight="1">
      <x:c r="A66" s="38" t="n">
        <x:v>62</x:v>
      </x:c>
      <x:c r="B66" s="38" t="str">
        <x:v>STAFF-02</x:v>
      </x:c>
      <x:c r="C66" s="38" t="str">
        <x:v>Prevent Active Assignment Conflict</x:v>
      </x:c>
      <x:c r="D66" s="38" t="str">
        <x:v>Staff Operations</x:v>
      </x:c>
      <x:c r="E66" s="38" t="str">
        <x:v>Business Service</x:v>
      </x:c>
      <x:c r="F66" s="38" t="str">
        <x:v>Admin, Staff</x:v>
      </x:c>
      <x:c r="G66" s="38" t="str">
        <x:v>Prevents overlapping active assignments that violate the configured one-table/one-staff service policy.</x:v>
      </x:c>
      <x:c r="H66" s="38" t="str">
        <x:v>Conflict rules are evaluated transactionally and respect assignment end time/status.</x:v>
      </x:c>
      <x:c r="I66" s="38" t="str">
        <x:v>Conflicting assignment is rejected; non-overlapping assignment succeeds; concurrent tests preserve consistency.</x:v>
      </x:c>
      <x:c r="J66" s="38" t="str">
        <x:v>Iter3</x:v>
      </x:c>
      <x:c r="K66" s="38" t="str">
        <x:v>Iter3</x:v>
      </x:c>
      <x:c r="L66" s="38" t="str">
        <x:v>none</x:v>
      </x:c>
      <x:c r="M66" s="38" t="str">
        <x:v>Trần Thanh Gia Huy (DE180571)</x:v>
      </x:c>
      <x:c r="N66" s="38" t="str">
        <x:v>High</x:v>
      </x:c>
      <x:c r="O66" s="38" t="str">
        <x:v>Complex</x:v>
      </x:c>
      <x:c r="P66" s="38" t="n">
        <x:v>240</x:v>
      </x:c>
      <x:c r="Q66" s="38" t="str">
        <x:v>Done</x:v>
      </x:c>
      <x:c r="R66" s="38" t="str">
        <x:v>II.9.2</x:v>
      </x:c>
      <x:c r="S66" s="38" t="str">
        <x:v>II.9.2</x:v>
      </x:c>
      <x:c r="T66" s="38" t="str">
        <x:v>EV-STAFF-02 / TC-STAFF-02</x:v>
      </x:c>
      <x:c r="U66" s="38" t="str">
        <x:v>Completed.</x:v>
      </x:c>
      <x:c r="V66" s="38" t="str">
        <x:v>Verified</x:v>
      </x:c>
    </x:row>
    <x:row r="67" ht="64" customHeight="1">
      <x:c r="A67" s="38" t="n">
        <x:v>63</x:v>
      </x:c>
      <x:c r="B67" s="38" t="str">
        <x:v>STAFF-03</x:v>
      </x:c>
      <x:c r="C67" s="38" t="str">
        <x:v>Staff Workspace / Assigned Tables</x:v>
      </x:c>
      <x:c r="D67" s="38" t="str">
        <x:v>Staff Operations</x:v>
      </x:c>
      <x:c r="E67" s="38" t="str">
        <x:v>Staff Screen</x:v>
      </x:c>
      <x:c r="F67" s="38" t="str">
        <x:v>Staff</x:v>
      </x:c>
      <x:c r="G67" s="38" t="str">
        <x:v>Shows the logged-in staff member's assigned tables, current reservations, and active orders.</x:v>
      </x:c>
      <x:c r="H67" s="38" t="str">
        <x:v>Data is scoped to the authenticated staff member and current active assignments.</x:v>
      </x:c>
      <x:c r="I67" s="38" t="str">
        <x:v>Staff sees only assigned work; updates reflect order/table status changes; empty state is usable.</x:v>
      </x:c>
      <x:c r="J67" s="38" t="str">
        <x:v>Iter3</x:v>
      </x:c>
      <x:c r="K67" s="38" t="str">
        <x:v>Iter3</x:v>
      </x:c>
      <x:c r="L67" s="38" t="str">
        <x:v>none</x:v>
      </x:c>
      <x:c r="M67" s="38" t="str">
        <x:v>Nguyễn Đức Thương (DE190096)</x:v>
      </x:c>
      <x:c r="N67" s="38" t="str">
        <x:v>High</x:v>
      </x:c>
      <x:c r="O67" s="38" t="str">
        <x:v>Medium</x:v>
      </x:c>
      <x:c r="P67" s="38" t="n">
        <x:v>120</x:v>
      </x:c>
      <x:c r="Q67" s="38" t="str">
        <x:v>Done</x:v>
      </x:c>
      <x:c r="R67" s="38" t="str">
        <x:v>II.9.3</x:v>
      </x:c>
      <x:c r="S67" s="38" t="str">
        <x:v>II.9.3</x:v>
      </x:c>
      <x:c r="T67" s="38" t="str">
        <x:v>EV-STAFF-03 / TC-STAFF-03</x:v>
      </x:c>
      <x:c r="U67" s="38" t="str">
        <x:v>Completed.</x:v>
      </x:c>
      <x:c r="V67" s="38" t="str">
        <x:v>Verified</x:v>
      </x:c>
    </x:row>
    <x:row r="68" ht="64" customHeight="1">
      <x:c r="A68" s="38" t="n">
        <x:v>64</x:v>
      </x:c>
      <x:c r="B68" s="38" t="str">
        <x:v>STAFF-04</x:v>
      </x:c>
      <x:c r="C68" s="38" t="str">
        <x:v>Cancel Order with Reason &amp; Audit</x:v>
      </x:c>
      <x:c r="D68" s="38" t="str">
        <x:v>Staff Operations</x:v>
      </x:c>
      <x:c r="E68" s="38" t="str">
        <x:v>Staff/Admin API</x:v>
      </x:c>
      <x:c r="F68" s="38" t="str">
        <x:v>Admin, Staff</x:v>
      </x:c>
      <x:c r="G68" s="38" t="str">
        <x:v>Cancels an eligible order with a required reason and records who performed the action.</x:v>
      </x:c>
      <x:c r="H68" s="38" t="str">
        <x:v>Paid/completed orders cannot be casually cancelled; cancellation must preserve historical order items and financial records.</x:v>
      </x:c>
      <x:c r="I68" s="38" t="str">
        <x:v>Allowed cancellation records reason/actor/time; forbidden state is rejected; order remains visible in history.</x:v>
      </x:c>
      <x:c r="J68" s="38" t="str">
        <x:v>Iter3</x:v>
      </x:c>
      <x:c r="K68" s="38" t="str">
        <x:v>Iter3</x:v>
      </x:c>
      <x:c r="L68" s="38" t="str">
        <x:v>Iter4</x:v>
      </x:c>
      <x:c r="M68" s="38" t="str">
        <x:v>Phan Nguyễn (DE191019)</x:v>
      </x:c>
      <x:c r="N68" s="38" t="str">
        <x:v>High</x:v>
      </x:c>
      <x:c r="O68" s="38" t="str">
        <x:v>Complex</x:v>
      </x:c>
      <x:c r="P68" s="38" t="n">
        <x:v>240</x:v>
      </x:c>
      <x:c r="Q68" s="38" t="str">
        <x:v>Updated</x:v>
      </x:c>
      <x:c r="R68" s="38" t="str">
        <x:v>II.9.4</x:v>
      </x:c>
      <x:c r="S68" s="38" t="str">
        <x:v>II.9.4</x:v>
      </x:c>
      <x:c r="T68" s="38" t="str">
        <x:v>EV-STAFF-04 / TC-STAFF-04</x:v>
      </x:c>
      <x:c r="U68" s="38" t="str">
        <x:v>Final payment-aware cancellation policy is required.</x:v>
      </x:c>
      <x:c r="V68" s="38" t="str">
        <x:v>Verified</x:v>
      </x:c>
    </x:row>
    <x:row r="69" ht="64" customHeight="1">
      <x:c r="A69" s="38" t="n">
        <x:v>65</x:v>
      </x:c>
      <x:c r="B69" s="38" t="str">
        <x:v>KITCHEN-01</x:v>
      </x:c>
      <x:c r="C69" s="38" t="str">
        <x:v>Kitchen Order Queue</x:v>
      </x:c>
      <x:c r="D69" s="38" t="str">
        <x:v>Kitchen Operations</x:v>
      </x:c>
      <x:c r="E69" s="38" t="str">
        <x:v>Kitchen Screen / API</x:v>
      </x:c>
      <x:c r="F69" s="38" t="str">
        <x:v>Kitchen Staff</x:v>
      </x:c>
      <x:c r="G69" s="38" t="str">
        <x:v>Shows confirmed/preparing orders needing kitchen action, prioritized by time and operational status.</x:v>
      </x:c>
      <x:c r="H69" s="38" t="str">
        <x:v>Only kitchen-relevant orders/items appear; access is role-restricted; ordering is deterministic.</x:v>
      </x:c>
      <x:c r="I69" s="38" t="str">
        <x:v>Queue refreshes from live data; completed/cancelled items leave active queue; wrong roles are denied.</x:v>
      </x:c>
      <x:c r="J69" s="38" t="str">
        <x:v>Iter3</x:v>
      </x:c>
      <x:c r="K69" s="38" t="str">
        <x:v>Iter3</x:v>
      </x:c>
      <x:c r="L69" s="38" t="str">
        <x:v>Iter4</x:v>
      </x:c>
      <x:c r="M69" s="38" t="str">
        <x:v>Nguyễn Tiến Lộc (DE190986)</x:v>
      </x:c>
      <x:c r="N69" s="38" t="str">
        <x:v>High</x:v>
      </x:c>
      <x:c r="O69" s="38" t="str">
        <x:v>Complex</x:v>
      </x:c>
      <x:c r="P69" s="38" t="n">
        <x:v>240</x:v>
      </x:c>
      <x:c r="Q69" s="38" t="str">
        <x:v>Updated</x:v>
      </x:c>
      <x:c r="R69" s="38" t="str">
        <x:v>II.10.1</x:v>
      </x:c>
      <x:c r="S69" s="38" t="str">
        <x:v>II.10.1</x:v>
      </x:c>
      <x:c r="T69" s="38" t="str">
        <x:v>EV-KITCHEN-01 / TC-KITCHEN-01</x:v>
      </x:c>
      <x:c r="U69" s="38" t="str">
        <x:v>Priority and refresh behavior were enhanced.</x:v>
      </x:c>
      <x:c r="V69" s="38" t="str">
        <x:v>Verified</x:v>
      </x:c>
    </x:row>
    <x:row r="70" ht="64" customHeight="1">
      <x:c r="A70" s="38" t="n">
        <x:v>66</x:v>
      </x:c>
      <x:c r="B70" s="38" t="str">
        <x:v>KITCHEN-02</x:v>
      </x:c>
      <x:c r="C70" s="38" t="str">
        <x:v>Item-level Preparation Notes &amp; Status</x:v>
      </x:c>
      <x:c r="D70" s="38" t="str">
        <x:v>Kitchen Operations</x:v>
      </x:c>
      <x:c r="E70" s="38" t="str">
        <x:v>Kitchen Screen / API</x:v>
      </x:c>
      <x:c r="F70" s="38" t="str">
        <x:v>Kitchen Staff</x:v>
      </x:c>
      <x:c r="G70" s="38" t="str">
        <x:v>Displays item notes and updates preparation status at item/order level according to the chosen workflow.</x:v>
      </x:c>
      <x:c r="H70" s="38" t="str">
        <x:v>Kitchen cannot modify prices/customer data; status changes follow allowed preparation sequence.</x:v>
      </x:c>
      <x:c r="I70" s="38" t="str">
        <x:v>Notes are visible; valid preparation updates persist; invalid transitions and unauthorized fields are rejected.</x:v>
      </x:c>
      <x:c r="J70" s="38" t="str">
        <x:v>Iter3</x:v>
      </x:c>
      <x:c r="K70" s="38" t="str">
        <x:v>Iter3</x:v>
      </x:c>
      <x:c r="L70" s="38" t="str">
        <x:v>Iter4</x:v>
      </x:c>
      <x:c r="M70" s="38" t="str">
        <x:v>Nguyễn Tiến Lộc (DE190986)</x:v>
      </x:c>
      <x:c r="N70" s="38" t="str">
        <x:v>High</x:v>
      </x:c>
      <x:c r="O70" s="38" t="str">
        <x:v>Complex</x:v>
      </x:c>
      <x:c r="P70" s="38" t="n">
        <x:v>240</x:v>
      </x:c>
      <x:c r="Q70" s="38" t="str">
        <x:v>Updated</x:v>
      </x:c>
      <x:c r="R70" s="38" t="str">
        <x:v>II.10.2</x:v>
      </x:c>
      <x:c r="S70" s="38" t="str">
        <x:v>II.10.2</x:v>
      </x:c>
      <x:c r="T70" s="38" t="str">
        <x:v>EV-KITCHEN-02 / TC-KITCHEN-02</x:v>
      </x:c>
      <x:c r="U70" s="38" t="str">
        <x:v>Completed with item note handling.</x:v>
      </x:c>
      <x:c r="V70" s="38" t="str">
        <x:v>Verified</x:v>
      </x:c>
    </x:row>
    <x:row r="71" ht="64" customHeight="1">
      <x:c r="A71" s="38" t="n">
        <x:v>67</x:v>
      </x:c>
      <x:c r="B71" s="38" t="str">
        <x:v>KITCHEN-03</x:v>
      </x:c>
      <x:c r="C71" s="38" t="str">
        <x:v>Kitchen History Search &amp; Filter</x:v>
      </x:c>
      <x:c r="D71" s="38" t="str">
        <x:v>Kitchen Operations</x:v>
      </x:c>
      <x:c r="E71" s="38" t="str">
        <x:v>Kitchen Screen / API</x:v>
      </x:c>
      <x:c r="F71" s="38" t="str">
        <x:v>Kitchen Staff, Admin</x:v>
      </x:c>
      <x:c r="G71" s="38" t="str">
        <x:v>Lists prepared, completed, and cancelled kitchen work with date/status/order filters.</x:v>
      </x:c>
      <x:c r="H71" s="38" t="str">
        <x:v>History is read-only for finalized records; role restrictions and pagination apply.</x:v>
      </x:c>
      <x:c r="I71" s="38" t="str">
        <x:v>Search/filter returns correct history; finalized data cannot be edited; empty results are handled.</x:v>
      </x:c>
      <x:c r="J71" s="38" t="str">
        <x:v>Iter3</x:v>
      </x:c>
      <x:c r="K71" s="38" t="str">
        <x:v>Iter3</x:v>
      </x:c>
      <x:c r="L71" s="38" t="str">
        <x:v>none</x:v>
      </x:c>
      <x:c r="M71" s="38" t="str">
        <x:v>Nguyễn Tiến Lộc (DE190986)</x:v>
      </x:c>
      <x:c r="N71" s="38" t="str">
        <x:v>Medium</x:v>
      </x:c>
      <x:c r="O71" s="38" t="str">
        <x:v>Medium</x:v>
      </x:c>
      <x:c r="P71" s="38" t="n">
        <x:v>120</x:v>
      </x:c>
      <x:c r="Q71" s="38" t="str">
        <x:v>Done</x:v>
      </x:c>
      <x:c r="R71" s="38" t="str">
        <x:v>II.10.3</x:v>
      </x:c>
      <x:c r="S71" s="38" t="str">
        <x:v>II.10.3</x:v>
      </x:c>
      <x:c r="T71" s="38" t="str">
        <x:v>EV-KITCHEN-03 / TC-KITCHEN-03</x:v>
      </x:c>
      <x:c r="U71" s="38" t="str">
        <x:v>Completed.</x:v>
      </x:c>
      <x:c r="V71" s="38" t="str">
        <x:v>Verified</x:v>
      </x:c>
    </x:row>
    <x:row r="72" ht="64" customHeight="1">
      <x:c r="A72" s="38" t="n">
        <x:v>68</x:v>
      </x:c>
      <x:c r="B72" s="38" t="str">
        <x:v>KITCHEN-04</x:v>
      </x:c>
      <x:c r="C72" s="38" t="str">
        <x:v>Kitchen Access Authorization</x:v>
      </x:c>
      <x:c r="D72" s="38" t="str">
        <x:v>Kitchen Operations</x:v>
      </x:c>
      <x:c r="E72" s="38" t="str">
        <x:v>Authorization Policy</x:v>
      </x:c>
      <x:c r="F72" s="38" t="str">
        <x:v>Kitchen Staff, Admin</x:v>
      </x:c>
      <x:c r="G72" s="38" t="str">
        <x:v>Restricts kitchen queue and status actions to kitchen staff or explicitly authorized admin roles.</x:v>
      </x:c>
      <x:c r="H72" s="38" t="str">
        <x:v>Customer/general staff tokens cannot call kitchen mutation APIs; read/write permissions are explicit.</x:v>
      </x:c>
      <x:c r="I72" s="38" t="str">
        <x:v>Authorization tests prove correct role access and reject all disallowed roles.</x:v>
      </x:c>
      <x:c r="J72" s="38" t="str">
        <x:v>Iter3</x:v>
      </x:c>
      <x:c r="K72" s="38" t="str">
        <x:v>Iter3</x:v>
      </x:c>
      <x:c r="L72" s="38" t="str">
        <x:v>none</x:v>
      </x:c>
      <x:c r="M72" s="38" t="str">
        <x:v>Phạm Văn Quyết (DE190425)</x:v>
      </x:c>
      <x:c r="N72" s="38" t="str">
        <x:v>Critical</x:v>
      </x:c>
      <x:c r="O72" s="38" t="str">
        <x:v>Medium</x:v>
      </x:c>
      <x:c r="P72" s="38" t="n">
        <x:v>120</x:v>
      </x:c>
      <x:c r="Q72" s="38" t="str">
        <x:v>Done</x:v>
      </x:c>
      <x:c r="R72" s="38" t="str">
        <x:v>II.10.4</x:v>
      </x:c>
      <x:c r="S72" s="38" t="str">
        <x:v>II.10.4</x:v>
      </x:c>
      <x:c r="T72" s="38" t="str">
        <x:v>EV-KITCHEN-04 / TC-KITCHEN-04</x:v>
      </x:c>
      <x:c r="U72" s="38" t="str">
        <x:v>Must be rerun after JWT filter finalization.</x:v>
      </x:c>
      <x:c r="V72" s="38" t="str">
        <x:v>Verified</x:v>
      </x:c>
    </x:row>
    <x:row r="73" ht="64" customHeight="1">
      <x:c r="A73" s="38" t="n">
        <x:v>69</x:v>
      </x:c>
      <x:c r="B73" s="38" t="str">
        <x:v>COUPON-01</x:v>
      </x:c>
      <x:c r="C73" s="38" t="str">
        <x:v>Coupon Entity &amp; Database Migration</x:v>
      </x:c>
      <x:c r="D73" s="38" t="str">
        <x:v>Coupon Management</x:v>
      </x:c>
      <x:c r="E73" s="38" t="str">
        <x:v>Database Migration</x:v>
      </x:c>
      <x:c r="F73" s="38" t="str">
        <x:v>Admin, Customer, Staff</x:v>
      </x:c>
      <x:c r="G73" s="38" t="str">
        <x:v>Creates coupon and usage persistence with code, type, value, limits, validity period, status, and audit fields.</x:v>
      </x:c>
      <x:c r="H73" s="38" t="str">
        <x:v>Coupon code is unique; values and dates are valid; monetary/percentage constraints and indexes are enforced.</x:v>
      </x:c>
      <x:c r="I73" s="38" t="str">
        <x:v>Migration succeeds on a clean database; constraints reject invalid/duplicate records; entity mapping passes tests.</x:v>
      </x:c>
      <x:c r="J73" s="38" t="str">
        <x:v>Iter4</x:v>
      </x:c>
      <x:c r="K73" s="38" t="str">
        <x:v>none</x:v>
      </x:c>
      <x:c r="L73" s="38" t="str">
        <x:v>none</x:v>
      </x:c>
      <x:c r="M73" s="38" t="str">
        <x:v>Trần Thanh Gia Huy (DE180571)</x:v>
      </x:c>
      <x:c r="N73" s="38" t="str">
        <x:v>Critical</x:v>
      </x:c>
      <x:c r="O73" s="38" t="str">
        <x:v>Complex</x:v>
      </x:c>
      <x:c r="P73" s="38" t="n">
        <x:v>240</x:v>
      </x:c>
      <x:c r="Q73" s="38" t="str">
        <x:v>Not Started</x:v>
      </x:c>
      <x:c r="R73" s="38" t="str">
        <x:v>II.11.1</x:v>
      </x:c>
      <x:c r="S73" s="38" t="str">
        <x:v>II.11.1</x:v>
      </x:c>
      <x:c r="T73" s="38" t="str">
        <x:v>EV-COUPON-01 / TC-COUPON-01</x:v>
      </x:c>
      <x:c r="U73" s="38" t="str">
        <x:v>No verified coupon tables/entities currently exist.</x:v>
      </x:c>
      <x:c r="V73" s="38" t="str">
        <x:v>Missing</x:v>
      </x:c>
    </x:row>
    <x:row r="74" ht="64" customHeight="1">
      <x:c r="A74" s="38" t="n">
        <x:v>70</x:v>
      </x:c>
      <x:c r="B74" s="38" t="str">
        <x:v>COUPON-02</x:v>
      </x:c>
      <x:c r="C74" s="38" t="str">
        <x:v>Admin Coupon List / Create / Update</x:v>
      </x:c>
      <x:c r="D74" s="38" t="str">
        <x:v>Coupon Management</x:v>
      </x:c>
      <x:c r="E74" s="38" t="str">
        <x:v>Admin Screen / API</x:v>
      </x:c>
      <x:c r="F74" s="38" t="str">
        <x:v>Admin</x:v>
      </x:c>
      <x:c r="G74" s="38" t="str">
        <x:v>Provides secure coupon search, creation, editing, activation, and deactivation.</x:v>
      </x:c>
      <x:c r="H74" s="38" t="str">
        <x:v>Only admin can mutate coupons; used coupons are not hard-deleted; overlapping validity and limits are validated.</x:v>
      </x:c>
      <x:c r="I74" s="38" t="str">
        <x:v>Admin CRUD persists correctly; invalid/duplicate data is rejected; non-admin mutation returns 403.</x:v>
      </x:c>
      <x:c r="J74" s="38" t="str">
        <x:v>Iter4</x:v>
      </x:c>
      <x:c r="K74" s="38" t="str">
        <x:v>none</x:v>
      </x:c>
      <x:c r="L74" s="38" t="str">
        <x:v>none</x:v>
      </x:c>
      <x:c r="M74" s="38" t="str">
        <x:v>Nguyễn Đức Thương (DE190096)</x:v>
      </x:c>
      <x:c r="N74" s="38" t="str">
        <x:v>Critical</x:v>
      </x:c>
      <x:c r="O74" s="38" t="str">
        <x:v>Complex</x:v>
      </x:c>
      <x:c r="P74" s="38" t="n">
        <x:v>240</x:v>
      </x:c>
      <x:c r="Q74" s="38" t="str">
        <x:v>Not Started</x:v>
      </x:c>
      <x:c r="R74" s="38" t="str">
        <x:v>II.11.2</x:v>
      </x:c>
      <x:c r="S74" s="38" t="str">
        <x:v>II.11.2</x:v>
      </x:c>
      <x:c r="T74" s="38" t="str">
        <x:v>EV-COUPON-02 / TC-COUPON-02</x:v>
      </x:c>
      <x:c r="U74" s="38" t="str">
        <x:v>Backend and frontend management flows are missing.</x:v>
      </x:c>
      <x:c r="V74" s="38" t="str">
        <x:v>Missing</x:v>
      </x:c>
    </x:row>
    <x:row r="75" ht="64" customHeight="1">
      <x:c r="A75" s="38" t="n">
        <x:v>71</x:v>
      </x:c>
      <x:c r="B75" s="38" t="str">
        <x:v>COUPON-03</x:v>
      </x:c>
      <x:c r="C75" s="38" t="str">
        <x:v>Coupon Eligibility Validation API</x:v>
      </x:c>
      <x:c r="D75" s="38" t="str">
        <x:v>Coupon Management</x:v>
      </x:c>
      <x:c r="E75" s="38" t="str">
        <x:v>Backend API</x:v>
      </x:c>
      <x:c r="F75" s="38" t="str">
        <x:v>Customer, Staff</x:v>
      </x:c>
      <x:c r="G75" s="38" t="str">
        <x:v>Validates coupon status, date, minimum amount, usage limits, role/customer eligibility, and applicable order context.</x:v>
      </x:c>
      <x:c r="H75" s="38" t="str">
        <x:v>Validation uses server time/data; an invalid coupon cannot affect order total; error reasons are controlled.</x:v>
      </x:c>
      <x:c r="I75" s="38" t="str">
        <x:v>Valid coupon returns authoritative discount preview; expired/inactive/over-limit/ineligible coupons are rejected.</x:v>
      </x:c>
      <x:c r="J75" s="38" t="str">
        <x:v>Iter4</x:v>
      </x:c>
      <x:c r="K75" s="38" t="str">
        <x:v>none</x:v>
      </x:c>
      <x:c r="L75" s="38" t="str">
        <x:v>none</x:v>
      </x:c>
      <x:c r="M75" s="38" t="str">
        <x:v>Trần Thanh Gia Huy (DE180571)</x:v>
      </x:c>
      <x:c r="N75" s="38" t="str">
        <x:v>Critical</x:v>
      </x:c>
      <x:c r="O75" s="38" t="str">
        <x:v>Complex</x:v>
      </x:c>
      <x:c r="P75" s="38" t="n">
        <x:v>240</x:v>
      </x:c>
      <x:c r="Q75" s="38" t="str">
        <x:v>Not Started</x:v>
      </x:c>
      <x:c r="R75" s="38" t="str">
        <x:v>II.11.3</x:v>
      </x:c>
      <x:c r="S75" s="38" t="str">
        <x:v>II.11.3</x:v>
      </x:c>
      <x:c r="T75" s="38" t="str">
        <x:v>EV-COUPON-03 / TC-COUPON-03</x:v>
      </x:c>
      <x:c r="U75" s="38" t="str">
        <x:v>Required before checkout can be audit-safe.</x:v>
      </x:c>
      <x:c r="V75" s="38" t="str">
        <x:v>Missing</x:v>
      </x:c>
    </x:row>
    <x:row r="76" ht="64" customHeight="1">
      <x:c r="A76" s="38" t="n">
        <x:v>72</x:v>
      </x:c>
      <x:c r="B76" s="38" t="str">
        <x:v>COUPON-04</x:v>
      </x:c>
      <x:c r="C76" s="38" t="str">
        <x:v>Apply Coupon Server-side to Order</x:v>
      </x:c>
      <x:c r="D76" s="38" t="str">
        <x:v>Coupon Management</x:v>
      </x:c>
      <x:c r="E76" s="38" t="str">
        <x:v>Business Service</x:v>
      </x:c>
      <x:c r="F76" s="38" t="str">
        <x:v>Customer, Staff</x:v>
      </x:c>
      <x:c r="G76" s="38" t="str">
        <x:v>Applies the validated coupon inside the order transaction and persists discount and final total.</x:v>
      </x:c>
      <x:c r="H76" s="38" t="str">
        <x:v>Client discount values are ignored; discount cannot exceed subtotal; one coupon policy is enforced unless specified otherwise.</x:v>
      </x:c>
      <x:c r="I76" s="38" t="str">
        <x:v>Persisted order total matches server calculation; manipulated requests fail; transaction rolls back on invalid coupon.</x:v>
      </x:c>
      <x:c r="J76" s="38" t="str">
        <x:v>Iter4</x:v>
      </x:c>
      <x:c r="K76" s="38" t="str">
        <x:v>Iter4</x:v>
      </x:c>
      <x:c r="L76" s="38" t="str">
        <x:v>none</x:v>
      </x:c>
      <x:c r="M76" s="38" t="str">
        <x:v>Nguyễn Tiến Lộc (DE190986)</x:v>
      </x:c>
      <x:c r="N76" s="38" t="str">
        <x:v>Critical</x:v>
      </x:c>
      <x:c r="O76" s="38" t="str">
        <x:v>Complex</x:v>
      </x:c>
      <x:c r="P76" s="38" t="n">
        <x:v>240</x:v>
      </x:c>
      <x:c r="Q76" s="38" t="str">
        <x:v>Doing</x:v>
      </x:c>
      <x:c r="R76" s="38" t="str">
        <x:v>II.11.4</x:v>
      </x:c>
      <x:c r="S76" s="38" t="str">
        <x:v>II.11.4</x:v>
      </x:c>
      <x:c r="T76" s="38" t="str">
        <x:v>EV-COUPON-04 / TC-COUPON-04</x:v>
      </x:c>
      <x:c r="U76" s="38" t="str">
        <x:v>Current discount behavior is client-side or incomplete.</x:v>
      </x:c>
      <x:c r="V76" s="38" t="str">
        <x:v>Partial</x:v>
      </x:c>
    </x:row>
    <x:row r="77" ht="64" customHeight="1">
      <x:c r="A77" s="38" t="n">
        <x:v>73</x:v>
      </x:c>
      <x:c r="B77" s="38" t="str">
        <x:v>COUPON-05</x:v>
      </x:c>
      <x:c r="C77" s="38" t="str">
        <x:v>Coupon Usage Limit &amp; Atomic Persistence</x:v>
      </x:c>
      <x:c r="D77" s="38" t="str">
        <x:v>Coupon Management</x:v>
      </x:c>
      <x:c r="E77" s="38" t="str">
        <x:v>Database / Business Service</x:v>
      </x:c>
      <x:c r="F77" s="38" t="str">
        <x:v>Customer, Staff</x:v>
      </x:c>
      <x:c r="G77" s="38" t="str">
        <x:v>Records coupon usage atomically and enforces global/per-user usage limits during concurrent order creation.</x:v>
      </x:c>
      <x:c r="H77" s="38" t="str">
        <x:v>Usage is counted only for the configured successful state; rollback removes failed usage; concurrency cannot exceed limits.</x:v>
      </x:c>
      <x:c r="I77" s="38" t="str">
        <x:v>Concurrent final-usage tests allow only permitted usage; failed order creates no orphan usage record.</x:v>
      </x:c>
      <x:c r="J77" s="38" t="str">
        <x:v>Iter4</x:v>
      </x:c>
      <x:c r="K77" s="38" t="str">
        <x:v>none</x:v>
      </x:c>
      <x:c r="L77" s="38" t="str">
        <x:v>none</x:v>
      </x:c>
      <x:c r="M77" s="38" t="str">
        <x:v>Trần Thanh Gia Huy (DE180571)</x:v>
      </x:c>
      <x:c r="N77" s="38" t="str">
        <x:v>Critical</x:v>
      </x:c>
      <x:c r="O77" s="38" t="str">
        <x:v>Complex</x:v>
      </x:c>
      <x:c r="P77" s="38" t="n">
        <x:v>240</x:v>
      </x:c>
      <x:c r="Q77" s="38" t="str">
        <x:v>Not Started</x:v>
      </x:c>
      <x:c r="R77" s="38" t="str">
        <x:v>II.11.5</x:v>
      </x:c>
      <x:c r="S77" s="38" t="str">
        <x:v>II.11.5</x:v>
      </x:c>
      <x:c r="T77" s="38" t="str">
        <x:v>EV-COUPON-05 / TC-COUPON-05</x:v>
      </x:c>
      <x:c r="U77" s="38" t="str">
        <x:v>Requires coupon usage table and transaction tests.</x:v>
      </x:c>
      <x:c r="V77" s="38" t="str">
        <x:v>Missing</x:v>
      </x:c>
    </x:row>
    <x:row r="78" ht="64" customHeight="1">
      <x:c r="A78" s="38" t="n">
        <x:v>74</x:v>
      </x:c>
      <x:c r="B78" s="38" t="str">
        <x:v>PAY-01</x:v>
      </x:c>
      <x:c r="C78" s="38" t="str">
        <x:v>Payment Method Selection UI</x:v>
      </x:c>
      <x:c r="D78" s="38" t="str">
        <x:v>Payment &amp; Invoice</x:v>
      </x:c>
      <x:c r="E78" s="38" t="str">
        <x:v>Customer / Staff UI</x:v>
      </x:c>
      <x:c r="F78" s="38" t="str">
        <x:v>Customer, Staff</x:v>
      </x:c>
      <x:c r="G78" s="38" t="str">
        <x:v>Allows selection of supported payment methods such as cash or QR and displays payable amount from the server.</x:v>
      </x:c>
      <x:c r="H78" s="38" t="str">
        <x:v>UI cannot mark an order paid by itself; method availability follows order status and role.</x:v>
      </x:c>
      <x:c r="I78" s="38" t="str">
        <x:v>Selected method is submitted to the payment API; displayed amount matches server; unsupported method is blocked.</x:v>
      </x:c>
      <x:c r="J78" s="38" t="str">
        <x:v>Iter4</x:v>
      </x:c>
      <x:c r="K78" s="38" t="str">
        <x:v>Iter4</x:v>
      </x:c>
      <x:c r="L78" s="38" t="str">
        <x:v>none</x:v>
      </x:c>
      <x:c r="M78" s="38" t="str">
        <x:v>Nguyễn Đức Thương (DE190096)</x:v>
      </x:c>
      <x:c r="N78" s="38" t="str">
        <x:v>High</x:v>
      </x:c>
      <x:c r="O78" s="38" t="str">
        <x:v>Medium</x:v>
      </x:c>
      <x:c r="P78" s="38" t="n">
        <x:v>120</x:v>
      </x:c>
      <x:c r="Q78" s="38" t="str">
        <x:v>Doing</x:v>
      </x:c>
      <x:c r="R78" s="38" t="str">
        <x:v>II.12.1</x:v>
      </x:c>
      <x:c r="S78" s="38" t="str">
        <x:v>II.12.1</x:v>
      </x:c>
      <x:c r="T78" s="38" t="str">
        <x:v>EV-PAY-01 / TC-PAY-01</x:v>
      </x:c>
      <x:c r="U78" s="38" t="str">
        <x:v>Existing UI simulates completion and must be connected to persisted payment.</x:v>
      </x:c>
      <x:c r="V78" s="38" t="str">
        <x:v>Partial</x:v>
      </x:c>
    </x:row>
    <x:row r="79" ht="64" customHeight="1">
      <x:c r="A79" s="38" t="n">
        <x:v>75</x:v>
      </x:c>
      <x:c r="B79" s="38" t="str">
        <x:v>PAY-02</x:v>
      </x:c>
      <x:c r="C79" s="38" t="str">
        <x:v>Payment Processing API</x:v>
      </x:c>
      <x:c r="D79" s="38" t="str">
        <x:v>Payment &amp; Invoice</x:v>
      </x:c>
      <x:c r="E79" s="38" t="str">
        <x:v>Backend API</x:v>
      </x:c>
      <x:c r="F79" s="38" t="str">
        <x:v>Customer, Staff</x:v>
      </x:c>
      <x:c r="G79" s="38" t="str">
        <x:v>Processes an eligible order payment request and returns an authoritative payment result.</x:v>
      </x:c>
      <x:c r="H79" s="38" t="str">
        <x:v>Order must exist, be payable, and be owned/operated by an authorized actor; amount comes from the order.</x:v>
      </x:c>
      <x:c r="I79" s="38" t="str">
        <x:v>Successful request creates payment; invalid order/state/role fails; API is covered for cash/QR outcomes.</x:v>
      </x:c>
      <x:c r="J79" s="38" t="str">
        <x:v>Iter4</x:v>
      </x:c>
      <x:c r="K79" s="38" t="str">
        <x:v>none</x:v>
      </x:c>
      <x:c r="L79" s="38" t="str">
        <x:v>none</x:v>
      </x:c>
      <x:c r="M79" s="38" t="str">
        <x:v>Phạm Văn Quyết (DE190425)</x:v>
      </x:c>
      <x:c r="N79" s="38" t="str">
        <x:v>Critical</x:v>
      </x:c>
      <x:c r="O79" s="38" t="str">
        <x:v>Complex</x:v>
      </x:c>
      <x:c r="P79" s="38" t="n">
        <x:v>240</x:v>
      </x:c>
      <x:c r="Q79" s="38" t="str">
        <x:v>Not Started</x:v>
      </x:c>
      <x:c r="R79" s="38" t="str">
        <x:v>II.12.2</x:v>
      </x:c>
      <x:c r="S79" s="38" t="str">
        <x:v>II.12.2</x:v>
      </x:c>
      <x:c r="T79" s="38" t="str">
        <x:v>EV-PAY-02 / TC-PAY-02</x:v>
      </x:c>
      <x:c r="U79" s="38" t="str">
        <x:v>No verified /api/payments/process lifecycle currently exists.</x:v>
      </x:c>
      <x:c r="V79" s="38" t="str">
        <x:v>Missing</x:v>
      </x:c>
    </x:row>
    <x:row r="80" ht="64" customHeight="1">
      <x:c r="A80" s="38" t="n">
        <x:v>76</x:v>
      </x:c>
      <x:c r="B80" s="38" t="str">
        <x:v>PAY-03</x:v>
      </x:c>
      <x:c r="C80" s="38" t="str">
        <x:v>Payment Amount Verification &amp; Idempotency</x:v>
      </x:c>
      <x:c r="D80" s="38" t="str">
        <x:v>Payment &amp; Invoice</x:v>
      </x:c>
      <x:c r="E80" s="38" t="str">
        <x:v>Business Service</x:v>
      </x:c>
      <x:c r="F80" s="38" t="str">
        <x:v>Customer, Staff</x:v>
      </x:c>
      <x:c r="G80" s="38" t="str">
        <x:v>Verifies payment amount against the final order total and prevents duplicate processing of the same request/order.</x:v>
      </x:c>
      <x:c r="H80" s="38" t="str">
        <x:v>Client amount is advisory only; idempotency key/order uniqueness prevents duplicate successful payments.</x:v>
      </x:c>
      <x:c r="I80" s="38" t="str">
        <x:v>Amount mismatch fails; repeated request returns the original result or safe conflict; no duplicate records are created.</x:v>
      </x:c>
      <x:c r="J80" s="38" t="str">
        <x:v>Iter4</x:v>
      </x:c>
      <x:c r="K80" s="38" t="str">
        <x:v>none</x:v>
      </x:c>
      <x:c r="L80" s="38" t="str">
        <x:v>none</x:v>
      </x:c>
      <x:c r="M80" s="38" t="str">
        <x:v>Nguyễn Tiến Lộc (DE190986)</x:v>
      </x:c>
      <x:c r="N80" s="38" t="str">
        <x:v>Critical</x:v>
      </x:c>
      <x:c r="O80" s="38" t="str">
        <x:v>Complex</x:v>
      </x:c>
      <x:c r="P80" s="38" t="n">
        <x:v>240</x:v>
      </x:c>
      <x:c r="Q80" s="38" t="str">
        <x:v>Not Started</x:v>
      </x:c>
      <x:c r="R80" s="38" t="str">
        <x:v>II.12.3</x:v>
      </x:c>
      <x:c r="S80" s="38" t="str">
        <x:v>II.12.3</x:v>
      </x:c>
      <x:c r="T80" s="38" t="str">
        <x:v>EV-PAY-03 / TC-PAY-03</x:v>
      </x:c>
      <x:c r="U80" s="38" t="str">
        <x:v>Required for financial integrity.</x:v>
      </x:c>
      <x:c r="V80" s="38" t="str">
        <x:v>Missing</x:v>
      </x:c>
    </x:row>
    <x:row r="81" ht="64" customHeight="1">
      <x:c r="A81" s="38" t="n">
        <x:v>77</x:v>
      </x:c>
      <x:c r="B81" s="38" t="str">
        <x:v>PAY-04</x:v>
      </x:c>
      <x:c r="C81" s="38" t="str">
        <x:v>Persist Payment &amp; Complete Order Transactionally</x:v>
      </x:c>
      <x:c r="D81" s="38" t="str">
        <x:v>Payment &amp; Invoice</x:v>
      </x:c>
      <x:c r="E81" s="38" t="str">
        <x:v>Backend Service / DB</x:v>
      </x:c>
      <x:c r="F81" s="38" t="str">
        <x:v>Customer, Staff</x:v>
      </x:c>
      <x:c r="G81" s="38" t="str">
        <x:v>Stores payment details and updates the order to completed only within one successful transaction.</x:v>
      </x:c>
      <x:c r="H81" s="38" t="str">
        <x:v>Failed payment leaves order unpaid; one successful payment per order; state transition follows order rules.</x:v>
      </x:c>
      <x:c r="I81" s="38" t="str">
        <x:v>Success creates one payment and completes order; failure rolls back; SQL evidence reconciles amount/status.</x:v>
      </x:c>
      <x:c r="J81" s="38" t="str">
        <x:v>Iter4</x:v>
      </x:c>
      <x:c r="K81" s="38" t="str">
        <x:v>none</x:v>
      </x:c>
      <x:c r="L81" s="38" t="str">
        <x:v>none</x:v>
      </x:c>
      <x:c r="M81" s="38" t="str">
        <x:v>Nguyễn Tiến Lộc (DE190986)</x:v>
      </x:c>
      <x:c r="N81" s="38" t="str">
        <x:v>Critical</x:v>
      </x:c>
      <x:c r="O81" s="38" t="str">
        <x:v>Complex</x:v>
      </x:c>
      <x:c r="P81" s="38" t="n">
        <x:v>240</x:v>
      </x:c>
      <x:c r="Q81" s="38" t="str">
        <x:v>Not Started</x:v>
      </x:c>
      <x:c r="R81" s="38" t="str">
        <x:v>II.12.4</x:v>
      </x:c>
      <x:c r="S81" s="38" t="str">
        <x:v>II.12.4</x:v>
      </x:c>
      <x:c r="T81" s="38" t="str">
        <x:v>EV-PAY-04 / TC-PAY-04</x:v>
      </x:c>
      <x:c r="U81" s="38" t="str">
        <x:v>UI-only status change is not acceptable for final audit.</x:v>
      </x:c>
      <x:c r="V81" s="38" t="str">
        <x:v>Missing</x:v>
      </x:c>
    </x:row>
    <x:row r="82" ht="64" customHeight="1">
      <x:c r="A82" s="38" t="n">
        <x:v>78</x:v>
      </x:c>
      <x:c r="B82" s="38" t="str">
        <x:v>INV-01</x:v>
      </x:c>
      <x:c r="C82" s="38" t="str">
        <x:v>Invoice Entity &amp; Unique Order Rule</x:v>
      </x:c>
      <x:c r="D82" s="38" t="str">
        <x:v>Payment &amp; Invoice</x:v>
      </x:c>
      <x:c r="E82" s="38" t="str">
        <x:v>Database Migration</x:v>
      </x:c>
      <x:c r="F82" s="38" t="str">
        <x:v>Customer, Staff, Admin</x:v>
      </x:c>
      <x:c r="G82" s="38" t="str">
        <x:v>Creates immutable invoice persistence linked one-to-one with a successfully paid order.</x:v>
      </x:c>
      <x:c r="H82" s="38" t="str">
        <x:v>One invoice per paid order; invoice number is unique; financial snapshot fields are non-editable after issue.</x:v>
      </x:c>
      <x:c r="I82" s="38" t="str">
        <x:v>Migration creates constraints; duplicate invoice creation fails; invoice values remain unchanged after menu updates.</x:v>
      </x:c>
      <x:c r="J82" s="38" t="str">
        <x:v>Iter4</x:v>
      </x:c>
      <x:c r="K82" s="38" t="str">
        <x:v>none</x:v>
      </x:c>
      <x:c r="L82" s="38" t="str">
        <x:v>none</x:v>
      </x:c>
      <x:c r="M82" s="38" t="str">
        <x:v>Trần Thanh Gia Huy (DE180571)</x:v>
      </x:c>
      <x:c r="N82" s="38" t="str">
        <x:v>Critical</x:v>
      </x:c>
      <x:c r="O82" s="38" t="str">
        <x:v>Complex</x:v>
      </x:c>
      <x:c r="P82" s="38" t="n">
        <x:v>240</x:v>
      </x:c>
      <x:c r="Q82" s="38" t="str">
        <x:v>Not Started</x:v>
      </x:c>
      <x:c r="R82" s="38" t="str">
        <x:v>II.13.1</x:v>
      </x:c>
      <x:c r="S82" s="38" t="str">
        <x:v>II.13.1</x:v>
      </x:c>
      <x:c r="T82" s="38" t="str">
        <x:v>EV-INV-01 / TC-INV-01</x:v>
      </x:c>
      <x:c r="U82" s="38" t="str">
        <x:v>No verified invoice table/entity exists.</x:v>
      </x:c>
      <x:c r="V82" s="38" t="str">
        <x:v>Missing</x:v>
      </x:c>
    </x:row>
    <x:row r="83" ht="64" customHeight="1">
      <x:c r="A83" s="38" t="n">
        <x:v>79</x:v>
      </x:c>
      <x:c r="B83" s="38" t="str">
        <x:v>INV-02</x:v>
      </x:c>
      <x:c r="C83" s="38" t="str">
        <x:v>Generate Immutable Invoice after Payment</x:v>
      </x:c>
      <x:c r="D83" s="38" t="str">
        <x:v>Payment &amp; Invoice</x:v>
      </x:c>
      <x:c r="E83" s="38" t="str">
        <x:v>Backend Service</x:v>
      </x:c>
      <x:c r="F83" s="38" t="str">
        <x:v>Customer, Staff</x:v>
      </x:c>
      <x:c r="G83" s="38" t="str">
        <x:v>Generates the invoice automatically within/after the successful payment transaction using order and payment snapshots.</x:v>
      </x:c>
      <x:c r="H83" s="38" t="str">
        <x:v>No invoice is generated for failed payment; retry cannot create a second invoice; totals reconcile exactly.</x:v>
      </x:c>
      <x:c r="I83" s="38" t="str">
        <x:v>Each successful payment produces exactly one invoice; failed/duplicate payment produces none/one as appropriate.</x:v>
      </x:c>
      <x:c r="J83" s="38" t="str">
        <x:v>Iter4</x:v>
      </x:c>
      <x:c r="K83" s="38" t="str">
        <x:v>none</x:v>
      </x:c>
      <x:c r="L83" s="38" t="str">
        <x:v>none</x:v>
      </x:c>
      <x:c r="M83" s="38" t="str">
        <x:v>Trần Thanh Gia Huy (DE180571)</x:v>
      </x:c>
      <x:c r="N83" s="38" t="str">
        <x:v>Critical</x:v>
      </x:c>
      <x:c r="O83" s="38" t="str">
        <x:v>Complex</x:v>
      </x:c>
      <x:c r="P83" s="38" t="n">
        <x:v>240</x:v>
      </x:c>
      <x:c r="Q83" s="38" t="str">
        <x:v>Not Started</x:v>
      </x:c>
      <x:c r="R83" s="38" t="str">
        <x:v>II.13.2</x:v>
      </x:c>
      <x:c r="S83" s="38" t="str">
        <x:v>II.13.2</x:v>
      </x:c>
      <x:c r="T83" s="38" t="str">
        <x:v>EV-INV-02 / TC-INV-02</x:v>
      </x:c>
      <x:c r="U83" s="38" t="str">
        <x:v>Depends on PAY-04 and INV-01.</x:v>
      </x:c>
      <x:c r="V83" s="38" t="str">
        <x:v>Missing</x:v>
      </x:c>
    </x:row>
    <x:row r="84" ht="64" customHeight="1">
      <x:c r="A84" s="38" t="n">
        <x:v>80</x:v>
      </x:c>
      <x:c r="B84" s="38" t="str">
        <x:v>INV-03</x:v>
      </x:c>
      <x:c r="C84" s="38" t="str">
        <x:v>View / Download Invoice</x:v>
      </x:c>
      <x:c r="D84" s="38" t="str">
        <x:v>Payment &amp; Invoice</x:v>
      </x:c>
      <x:c r="E84" s="38" t="str">
        <x:v>UI / Backend API</x:v>
      </x:c>
      <x:c r="F84" s="38" t="str">
        <x:v>Customer, Staff, Admin</x:v>
      </x:c>
      <x:c r="G84" s="38" t="str">
        <x:v>Allows authorized users to view invoice details and download/print a stable invoice representation.</x:v>
      </x:c>
      <x:c r="H84" s="38" t="str">
        <x:v>Customer can access only own invoice; staff/admin access follows role; issued invoice is read-only.</x:v>
      </x:c>
      <x:c r="I84" s="38" t="str">
        <x:v>Authorized view/download works; unauthorized access fails; displayed/PDF totals match database.</x:v>
      </x:c>
      <x:c r="J84" s="38" t="str">
        <x:v>Iter4</x:v>
      </x:c>
      <x:c r="K84" s="38" t="str">
        <x:v>none</x:v>
      </x:c>
      <x:c r="L84" s="38" t="str">
        <x:v>none</x:v>
      </x:c>
      <x:c r="M84" s="38" t="str">
        <x:v>Phan Nguyễn (DE191019)</x:v>
      </x:c>
      <x:c r="N84" s="38" t="str">
        <x:v>High</x:v>
      </x:c>
      <x:c r="O84" s="38" t="str">
        <x:v>Complex</x:v>
      </x:c>
      <x:c r="P84" s="38" t="n">
        <x:v>240</x:v>
      </x:c>
      <x:c r="Q84" s="38" t="str">
        <x:v>Not Started</x:v>
      </x:c>
      <x:c r="R84" s="38" t="str">
        <x:v>II.13.3</x:v>
      </x:c>
      <x:c r="S84" s="38" t="str">
        <x:v>II.13.3</x:v>
      </x:c>
      <x:c r="T84" s="38" t="str">
        <x:v>EV-INV-03 / TC-INV-03</x:v>
      </x:c>
      <x:c r="U84" s="38" t="str">
        <x:v>Requires invoice generation and authorization.</x:v>
      </x:c>
      <x:c r="V84" s="38" t="str">
        <x:v>Missing</x:v>
      </x:c>
    </x:row>
    <x:row r="85" ht="64" customHeight="1">
      <x:c r="A85" s="38" t="n">
        <x:v>81</x:v>
      </x:c>
      <x:c r="B85" s="38" t="str">
        <x:v>FB-01</x:v>
      </x:c>
      <x:c r="C85" s="38" t="str">
        <x:v>Submit Feedback Screen</x:v>
      </x:c>
      <x:c r="D85" s="38" t="str">
        <x:v>Feedback Management</x:v>
      </x:c>
      <x:c r="E85" s="38" t="str">
        <x:v>Customer UI</x:v>
      </x:c>
      <x:c r="F85" s="38" t="str">
        <x:v>Customer</x:v>
      </x:c>
      <x:c r="G85" s="38" t="str">
        <x:v>Collects rating and comment for an eligible completed order and displays validation/API responses.</x:v>
      </x:c>
      <x:c r="H85" s="38" t="str">
        <x:v>Rating range and comment length are validated; UI alone does not persist final feedback.</x:v>
      </x:c>
      <x:c r="I85" s="38" t="str">
        <x:v>Eligible customer can submit once; invalid rating/comment is blocked; refresh shows persisted result after backend completion.</x:v>
      </x:c>
      <x:c r="J85" s="38" t="str">
        <x:v>Iter4</x:v>
      </x:c>
      <x:c r="K85" s="38" t="str">
        <x:v>Iter4</x:v>
      </x:c>
      <x:c r="L85" s="38" t="str">
        <x:v>none</x:v>
      </x:c>
      <x:c r="M85" s="38" t="str">
        <x:v>Nguyễn Đức Thương (DE190096)</x:v>
      </x:c>
      <x:c r="N85" s="38" t="str">
        <x:v>High</x:v>
      </x:c>
      <x:c r="O85" s="38" t="str">
        <x:v>Medium</x:v>
      </x:c>
      <x:c r="P85" s="38" t="n">
        <x:v>120</x:v>
      </x:c>
      <x:c r="Q85" s="38" t="str">
        <x:v>Doing</x:v>
      </x:c>
      <x:c r="R85" s="38" t="str">
        <x:v>II.14.1</x:v>
      </x:c>
      <x:c r="S85" s="38" t="str">
        <x:v>II.14.1</x:v>
      </x:c>
      <x:c r="T85" s="38" t="str">
        <x:v>EV-FB-01 / TC-FB-01</x:v>
      </x:c>
      <x:c r="U85" s="38" t="str">
        <x:v>Current feedback is browser-local and is lost after refresh.</x:v>
      </x:c>
      <x:c r="V85" s="38" t="str">
        <x:v>Partial</x:v>
      </x:c>
    </x:row>
    <x:row r="86" ht="64" customHeight="1">
      <x:c r="A86" s="38" t="n">
        <x:v>82</x:v>
      </x:c>
      <x:c r="B86" s="38" t="str">
        <x:v>FB-02</x:v>
      </x:c>
      <x:c r="C86" s="38" t="str">
        <x:v>Feedback Persistence &amp; Completed-order Eligibility</x:v>
      </x:c>
      <x:c r="D86" s="38" t="str">
        <x:v>Feedback Management</x:v>
      </x:c>
      <x:c r="E86" s="38" t="str">
        <x:v>Backend API / DB</x:v>
      </x:c>
      <x:c r="F86" s="38" t="str">
        <x:v>Customer</x:v>
      </x:c>
      <x:c r="G86" s="38" t="str">
        <x:v>Persists feedback only when the authenticated customer owns a completed eligible order.</x:v>
      </x:c>
      <x:c r="H86" s="38" t="str">
        <x:v>Cancelled/unpaid/incomplete/other-user orders are ineligible; customer identity comes from authentication.</x:v>
      </x:c>
      <x:c r="I86" s="38" t="str">
        <x:v>Eligible feedback remains after refresh; ineligible/unauthorized requests fail; database relation is correct.</x:v>
      </x:c>
      <x:c r="J86" s="38" t="str">
        <x:v>Iter4</x:v>
      </x:c>
      <x:c r="K86" s="38" t="str">
        <x:v>none</x:v>
      </x:c>
      <x:c r="L86" s="38" t="str">
        <x:v>none</x:v>
      </x:c>
      <x:c r="M86" s="38" t="str">
        <x:v>Nguyễn Tiến Lộc (DE190986)</x:v>
      </x:c>
      <x:c r="N86" s="38" t="str">
        <x:v>Critical</x:v>
      </x:c>
      <x:c r="O86" s="38" t="str">
        <x:v>Complex</x:v>
      </x:c>
      <x:c r="P86" s="38" t="n">
        <x:v>240</x:v>
      </x:c>
      <x:c r="Q86" s="38" t="str">
        <x:v>Not Started</x:v>
      </x:c>
      <x:c r="R86" s="38" t="str">
        <x:v>II.14.2</x:v>
      </x:c>
      <x:c r="S86" s="38" t="str">
        <x:v>II.14.2</x:v>
      </x:c>
      <x:c r="T86" s="38" t="str">
        <x:v>EV-FB-02 / TC-FB-02</x:v>
      </x:c>
      <x:c r="U86" s="38" t="str">
        <x:v>Feedback entity/table/API are missing.</x:v>
      </x:c>
      <x:c r="V86" s="38" t="str">
        <x:v>Missing</x:v>
      </x:c>
    </x:row>
    <x:row r="87" ht="64" customHeight="1">
      <x:c r="A87" s="38" t="n">
        <x:v>83</x:v>
      </x:c>
      <x:c r="B87" s="38" t="str">
        <x:v>FB-03</x:v>
      </x:c>
      <x:c r="C87" s="38" t="str">
        <x:v>One Feedback per Order &amp; Input Validation</x:v>
      </x:c>
      <x:c r="D87" s="38" t="str">
        <x:v>Feedback Management</x:v>
      </x:c>
      <x:c r="E87" s="38" t="str">
        <x:v>Business Service / DB</x:v>
      </x:c>
      <x:c r="F87" s="38" t="str">
        <x:v>Customer</x:v>
      </x:c>
      <x:c r="G87" s="38" t="str">
        <x:v>Enforces one active feedback record per customer order and validates rating/comment.</x:v>
      </x:c>
      <x:c r="H87" s="38" t="str">
        <x:v>Unique constraint prevents duplicates under concurrency; rating is within configured range; comment is sanitized/limited.</x:v>
      </x:c>
      <x:c r="I87" s="38" t="str">
        <x:v>Duplicate/concurrent submissions create at most one record; invalid input returns field errors.</x:v>
      </x:c>
      <x:c r="J87" s="38" t="str">
        <x:v>Iter4</x:v>
      </x:c>
      <x:c r="K87" s="38" t="str">
        <x:v>none</x:v>
      </x:c>
      <x:c r="L87" s="38" t="str">
        <x:v>none</x:v>
      </x:c>
      <x:c r="M87" s="38" t="str">
        <x:v>Nguyễn Tiến Lộc (DE190986)</x:v>
      </x:c>
      <x:c r="N87" s="38" t="str">
        <x:v>High</x:v>
      </x:c>
      <x:c r="O87" s="38" t="str">
        <x:v>Complex</x:v>
      </x:c>
      <x:c r="P87" s="38" t="n">
        <x:v>240</x:v>
      </x:c>
      <x:c r="Q87" s="38" t="str">
        <x:v>Not Started</x:v>
      </x:c>
      <x:c r="R87" s="38" t="str">
        <x:v>II.14.3</x:v>
      </x:c>
      <x:c r="S87" s="38" t="str">
        <x:v>II.14.3</x:v>
      </x:c>
      <x:c r="T87" s="38" t="str">
        <x:v>EV-FB-03 / TC-FB-03</x:v>
      </x:c>
      <x:c r="U87" s="38" t="str">
        <x:v>Requires database uniqueness and integration tests.</x:v>
      </x:c>
      <x:c r="V87" s="38" t="str">
        <x:v>Missing</x:v>
      </x:c>
    </x:row>
    <x:row r="88" ht="64" customHeight="1">
      <x:c r="A88" s="38" t="n">
        <x:v>84</x:v>
      </x:c>
      <x:c r="B88" s="38" t="str">
        <x:v>FB-04</x:v>
      </x:c>
      <x:c r="C88" s="38" t="str">
        <x:v>Admin Feedback Search / Moderation</x:v>
      </x:c>
      <x:c r="D88" s="38" t="str">
        <x:v>Feedback Management</x:v>
      </x:c>
      <x:c r="E88" s="38" t="str">
        <x:v>Admin Screen / API</x:v>
      </x:c>
      <x:c r="F88" s="38" t="str">
        <x:v>Admin</x:v>
      </x:c>
      <x:c r="G88" s="38" t="str">
        <x:v>Lists feedback with filters and permits controlled moderation status without rewriting the original rating history.</x:v>
      </x:c>
      <x:c r="H88" s="38" t="str">
        <x:v>Only admin moderates; original author/rating/comment remain auditable; moderation action records actor/time/reason.</x:v>
      </x:c>
      <x:c r="I88" s="38" t="str">
        <x:v>Admin can search/filter/review/moderate; non-admin is denied; moderation persists after refresh.</x:v>
      </x:c>
      <x:c r="J88" s="38" t="str">
        <x:v>Iter4</x:v>
      </x:c>
      <x:c r="K88" s="38" t="str">
        <x:v>none</x:v>
      </x:c>
      <x:c r="L88" s="38" t="str">
        <x:v>none</x:v>
      </x:c>
      <x:c r="M88" s="38" t="str">
        <x:v>Trần Thanh Gia Huy (DE180571)</x:v>
      </x:c>
      <x:c r="N88" s="38" t="str">
        <x:v>High</x:v>
      </x:c>
      <x:c r="O88" s="38" t="str">
        <x:v>Complex</x:v>
      </x:c>
      <x:c r="P88" s="38" t="n">
        <x:v>240</x:v>
      </x:c>
      <x:c r="Q88" s="38" t="str">
        <x:v>Not Started</x:v>
      </x:c>
      <x:c r="R88" s="38" t="str">
        <x:v>II.14.4</x:v>
      </x:c>
      <x:c r="S88" s="38" t="str">
        <x:v>II.14.4</x:v>
      </x:c>
      <x:c r="T88" s="38" t="str">
        <x:v>EV-FB-04 / TC-FB-04</x:v>
      </x:c>
      <x:c r="U88" s="38" t="str">
        <x:v>No verified moderation API exists.</x:v>
      </x:c>
      <x:c r="V88" s="38" t="str">
        <x:v>Missing</x:v>
      </x:c>
    </x:row>
    <x:row r="89" ht="64" customHeight="1">
      <x:c r="A89" s="38" t="n">
        <x:v>85</x:v>
      </x:c>
      <x:c r="B89" s="38" t="str">
        <x:v>RPT-01</x:v>
      </x:c>
      <x:c r="C89" s="38" t="str">
        <x:v>Dashboard KPI Aggregation API</x:v>
      </x:c>
      <x:c r="D89" s="38" t="str">
        <x:v>Reporting &amp; Analytics</x:v>
      </x:c>
      <x:c r="E89" s="38" t="str">
        <x:v>Backend Report API</x:v>
      </x:c>
      <x:c r="F89" s="38" t="str">
        <x:v>Admin</x:v>
      </x:c>
      <x:c r="G89" s="38" t="str">
        <x:v>Calculates operational KPIs such as paid revenue, completed orders, active reservations, and customer counts from live data.</x:v>
      </x:c>
      <x:c r="H89" s="38" t="str">
        <x:v>Revenue includes only successful paid/completed orders; cancelled/unpaid orders are excluded; date boundaries are explicit.</x:v>
      </x:c>
      <x:c r="I89" s="38" t="str">
        <x:v>API values reconcile with direct SQL for the same period; empty period returns zero/no-data safely.</x:v>
      </x:c>
      <x:c r="J89" s="38" t="str">
        <x:v>Iter4</x:v>
      </x:c>
      <x:c r="K89" s="38" t="str">
        <x:v>none</x:v>
      </x:c>
      <x:c r="L89" s="38" t="str">
        <x:v>none</x:v>
      </x:c>
      <x:c r="M89" s="38" t="str">
        <x:v>Phan Nguyễn (DE191019)</x:v>
      </x:c>
      <x:c r="N89" s="38" t="str">
        <x:v>Critical</x:v>
      </x:c>
      <x:c r="O89" s="38" t="str">
        <x:v>Complex</x:v>
      </x:c>
      <x:c r="P89" s="38" t="n">
        <x:v>240</x:v>
      </x:c>
      <x:c r="Q89" s="38" t="str">
        <x:v>Not Started</x:v>
      </x:c>
      <x:c r="R89" s="38" t="str">
        <x:v>II.15.1</x:v>
      </x:c>
      <x:c r="S89" s="38" t="str">
        <x:v>II.15.1</x:v>
      </x:c>
      <x:c r="T89" s="38" t="str">
        <x:v>EV-RPT-01 / TC-RPT-01</x:v>
      </x:c>
      <x:c r="U89" s="38" t="str">
        <x:v>Dashboard currently uses static/mock figures.</x:v>
      </x:c>
      <x:c r="V89" s="38" t="str">
        <x:v>Missing</x:v>
      </x:c>
    </x:row>
    <x:row r="90" ht="64" customHeight="1">
      <x:c r="A90" s="38" t="n">
        <x:v>86</x:v>
      </x:c>
      <x:c r="B90" s="38" t="str">
        <x:v>RPT-02</x:v>
      </x:c>
      <x:c r="C90" s="38" t="str">
        <x:v>Revenue Trend &amp; Date Filter</x:v>
      </x:c>
      <x:c r="D90" s="38" t="str">
        <x:v>Reporting &amp; Analytics</x:v>
      </x:c>
      <x:c r="E90" s="38" t="str">
        <x:v>Backend API / Admin UI</x:v>
      </x:c>
      <x:c r="F90" s="38" t="str">
        <x:v>Admin</x:v>
      </x:c>
      <x:c r="G90" s="38" t="str">
        <x:v>Groups paid revenue by day/month and supports date-range filtering for dashboard charts.</x:v>
      </x:c>
      <x:c r="H90" s="38" t="str">
        <x:v>Grouping uses consistent timezone; filters are inclusive as documented; only verified successful payments count.</x:v>
      </x:c>
      <x:c r="I90" s="38" t="str">
        <x:v>Chart data matches SQL aggregation; changing date range refreshes correctly; empty ranges render safely.</x:v>
      </x:c>
      <x:c r="J90" s="38" t="str">
        <x:v>Iter4</x:v>
      </x:c>
      <x:c r="K90" s="38" t="str">
        <x:v>none</x:v>
      </x:c>
      <x:c r="L90" s="38" t="str">
        <x:v>none</x:v>
      </x:c>
      <x:c r="M90" s="38" t="str">
        <x:v>Phan Nguyễn (DE191019)</x:v>
      </x:c>
      <x:c r="N90" s="38" t="str">
        <x:v>High</x:v>
      </x:c>
      <x:c r="O90" s="38" t="str">
        <x:v>Complex</x:v>
      </x:c>
      <x:c r="P90" s="38" t="n">
        <x:v>240</x:v>
      </x:c>
      <x:c r="Q90" s="38" t="str">
        <x:v>Not Started</x:v>
      </x:c>
      <x:c r="R90" s="38" t="str">
        <x:v>II.15.2</x:v>
      </x:c>
      <x:c r="S90" s="38" t="str">
        <x:v>II.15.2</x:v>
      </x:c>
      <x:c r="T90" s="38" t="str">
        <x:v>EV-RPT-02 / TC-RPT-02</x:v>
      </x:c>
      <x:c r="U90" s="38" t="str">
        <x:v>Requires payment persistence first.</x:v>
      </x:c>
      <x:c r="V90" s="38" t="str">
        <x:v>Missing</x:v>
      </x:c>
    </x:row>
    <x:row r="91" ht="64" customHeight="1">
      <x:c r="A91" s="38" t="n">
        <x:v>87</x:v>
      </x:c>
      <x:c r="B91" s="38" t="str">
        <x:v>RPT-03</x:v>
      </x:c>
      <x:c r="C91" s="38" t="str">
        <x:v>Top Food &amp; Order-status Reports</x:v>
      </x:c>
      <x:c r="D91" s="38" t="str">
        <x:v>Reporting &amp; Analytics</x:v>
      </x:c>
      <x:c r="E91" s="38" t="str">
        <x:v>Backend API / Admin UI</x:v>
      </x:c>
      <x:c r="F91" s="38" t="str">
        <x:v>Admin</x:v>
      </x:c>
      <x:c r="G91" s="38" t="str">
        <x:v>Reports top-selling foods and order counts by status using persisted order items and orders.</x:v>
      </x:c>
      <x:c r="H91" s="38" t="str">
        <x:v>Cancelled orders are excluded from sales ranking; historical item names/prices use snapshots where appropriate.</x:v>
      </x:c>
      <x:c r="I91" s="38" t="str">
        <x:v>Rankings/counts reconcile with SQL; filters and tie handling are documented; non-admin access is blocked.</x:v>
      </x:c>
      <x:c r="J91" s="38" t="str">
        <x:v>Iter4</x:v>
      </x:c>
      <x:c r="K91" s="38" t="str">
        <x:v>none</x:v>
      </x:c>
      <x:c r="L91" s="38" t="str">
        <x:v>none</x:v>
      </x:c>
      <x:c r="M91" s="38" t="str">
        <x:v>Phan Nguyễn (DE191019)</x:v>
      </x:c>
      <x:c r="N91" s="38" t="str">
        <x:v>High</x:v>
      </x:c>
      <x:c r="O91" s="38" t="str">
        <x:v>Complex</x:v>
      </x:c>
      <x:c r="P91" s="38" t="n">
        <x:v>240</x:v>
      </x:c>
      <x:c r="Q91" s="38" t="str">
        <x:v>Not Started</x:v>
      </x:c>
      <x:c r="R91" s="38" t="str">
        <x:v>II.15.3</x:v>
      </x:c>
      <x:c r="S91" s="38" t="str">
        <x:v>II.15.3</x:v>
      </x:c>
      <x:c r="T91" s="38" t="str">
        <x:v>EV-RPT-03 / TC-RPT-03</x:v>
      </x:c>
      <x:c r="U91" s="38" t="str">
        <x:v>Current charts are mock/static.</x:v>
      </x:c>
      <x:c r="V91" s="38" t="str">
        <x:v>Missing</x:v>
      </x:c>
    </x:row>
    <x:row r="92" ht="64" customHeight="1">
      <x:c r="A92" s="38" t="n">
        <x:v>88</x:v>
      </x:c>
      <x:c r="B92" s="38" t="str">
        <x:v>RPT-04</x:v>
      </x:c>
      <x:c r="C92" s="38" t="str">
        <x:v>Dashboard Frontend Live-data Integration</x:v>
      </x:c>
      <x:c r="D92" s="38" t="str">
        <x:v>Reporting &amp; Analytics</x:v>
      </x:c>
      <x:c r="E92" s="38" t="str">
        <x:v>Admin UI</x:v>
      </x:c>
      <x:c r="F92" s="38" t="str">
        <x:v>Admin</x:v>
      </x:c>
      <x:c r="G92" s="38" t="str">
        <x:v>Replaces hardcoded dashboard values with secured report API calls, loading states, errors, and no-data states.</x:v>
      </x:c>
      <x:c r="H92" s="38" t="str">
        <x:v>No production metric remains hardcoded; requests include authentication; chart labels/units match API.</x:v>
      </x:c>
      <x:c r="I92" s="38" t="str">
        <x:v>Network evidence shows real API calls; displayed totals match response/SQL; API failure does not crash page.</x:v>
      </x:c>
      <x:c r="J92" s="38" t="str">
        <x:v>Iter4</x:v>
      </x:c>
      <x:c r="K92" s="38" t="str">
        <x:v>Iter4</x:v>
      </x:c>
      <x:c r="L92" s="38" t="str">
        <x:v>none</x:v>
      </x:c>
      <x:c r="M92" s="38" t="str">
        <x:v>Nguyễn Đức Thương (DE190096)</x:v>
      </x:c>
      <x:c r="N92" s="38" t="str">
        <x:v>Critical</x:v>
      </x:c>
      <x:c r="O92" s="38" t="str">
        <x:v>Complex</x:v>
      </x:c>
      <x:c r="P92" s="38" t="n">
        <x:v>240</x:v>
      </x:c>
      <x:c r="Q92" s="38" t="str">
        <x:v>Doing</x:v>
      </x:c>
      <x:c r="R92" s="38" t="str">
        <x:v>II.15.4</x:v>
      </x:c>
      <x:c r="S92" s="38" t="str">
        <x:v>II.15.4</x:v>
      </x:c>
      <x:c r="T92" s="38" t="str">
        <x:v>EV-RPT-04 / TC-RPT-04</x:v>
      </x:c>
      <x:c r="U92" s="38" t="str">
        <x:v>Frontend exists but is not connected to verified database aggregates.</x:v>
      </x:c>
      <x:c r="V92" s="38" t="str">
        <x:v>Partial</x:v>
      </x:c>
    </x:row>
    <x:row r="93" ht="64" customHeight="1">
      <x:c r="A93" s="38" t="n">
        <x:v>89</x:v>
      </x:c>
      <x:c r="B93" s="38" t="str">
        <x:v>AI-01</x:v>
      </x:c>
      <x:c r="C93" s="38" t="str">
        <x:v>AI Analytics with Controlled Data &amp; Logging</x:v>
      </x:c>
      <x:c r="D93" s="38" t="str">
        <x:v>AI Support</x:v>
      </x:c>
      <x:c r="E93" s="38" t="str">
        <x:v>Admin AI Function</x:v>
      </x:c>
      <x:c r="F93" s="38" t="str">
        <x:v>Admin</x:v>
      </x:c>
      <x:c r="G93" s="38" t="str">
        <x:v>Provides AI-assisted interpretation of selected report data with controlled inputs, advisory output, and audit logging.</x:v>
      </x:c>
      <x:c r="H93" s="38" t="str">
        <x:v>AI output is advisory and cannot directly alter financial/operational data; prompts exclude secrets and unnecessary PII.</x:v>
      </x:c>
      <x:c r="I93" s="38" t="str">
        <x:v>Authorized admin receives a logged result; failures have safe fallback; output clearly states limitations.</x:v>
      </x:c>
      <x:c r="J93" s="38" t="str">
        <x:v>Iter4</x:v>
      </x:c>
      <x:c r="K93" s="38" t="str">
        <x:v>Iter4</x:v>
      </x:c>
      <x:c r="L93" s="38" t="str">
        <x:v>none</x:v>
      </x:c>
      <x:c r="M93" s="38" t="str">
        <x:v>Trần Thanh Gia Huy (DE180571)</x:v>
      </x:c>
      <x:c r="N93" s="38" t="str">
        <x:v>Medium</x:v>
      </x:c>
      <x:c r="O93" s="38" t="str">
        <x:v>Complex</x:v>
      </x:c>
      <x:c r="P93" s="38" t="n">
        <x:v>240</x:v>
      </x:c>
      <x:c r="Q93" s="38" t="str">
        <x:v>Done</x:v>
      </x:c>
      <x:c r="R93" s="38" t="str">
        <x:v>II.16.1</x:v>
      </x:c>
      <x:c r="S93" s="38" t="str">
        <x:v>II.16.1</x:v>
      </x:c>
      <x:c r="T93" s="38" t="str">
        <x:v>EV-AI-01 / TC-AI-01</x:v>
      </x:c>
      <x:c r="U93" s="38" t="str">
        <x:v>Completed with controlled analytics scope.</x:v>
      </x:c>
      <x:c r="V93" s="38" t="str">
        <x:v>Verified</x:v>
      </x:c>
    </x:row>
    <x:row r="94" ht="64" customHeight="1">
      <x:c r="A94" s="38" t="n">
        <x:v>90</x:v>
      </x:c>
      <x:c r="B94" s="38" t="str">
        <x:v>AI-02</x:v>
      </x:c>
      <x:c r="C94" s="38" t="str">
        <x:v>Customer Chatbot FAQ &amp; Safe Fallback</x:v>
      </x:c>
      <x:c r="D94" s="38" t="str">
        <x:v>AI Support</x:v>
      </x:c>
      <x:c r="E94" s="38" t="str">
        <x:v>Customer AI Function</x:v>
      </x:c>
      <x:c r="F94" s="38" t="str">
        <x:v>Guest, Customer</x:v>
      </x:c>
      <x:c r="G94" s="38" t="str">
        <x:v>Answers common restaurant/menu/reservation/order questions and routes unsupported requests to a safe fallback.</x:v>
      </x:c>
      <x:c r="H94" s="38" t="str">
        <x:v>Chatbot cannot expose another user's data or perform privileged actions without authenticated APIs; uncertain answers are disclosed.</x:v>
      </x:c>
      <x:c r="I94" s="38" t="str">
        <x:v>FAQ answers are relevant; unsafe/unknown prompts receive fallback; session-aware links do not leak data.</x:v>
      </x:c>
      <x:c r="J94" s="38" t="str">
        <x:v>Iter4</x:v>
      </x:c>
      <x:c r="K94" s="38" t="str">
        <x:v>Iter4</x:v>
      </x:c>
      <x:c r="L94" s="38" t="str">
        <x:v>none</x:v>
      </x:c>
      <x:c r="M94" s="38" t="str">
        <x:v>Trần Thanh Gia Huy (DE180571)</x:v>
      </x:c>
      <x:c r="N94" s="38" t="str">
        <x:v>Medium</x:v>
      </x:c>
      <x:c r="O94" s="38" t="str">
        <x:v>Complex</x:v>
      </x:c>
      <x:c r="P94" s="38" t="n">
        <x:v>240</x:v>
      </x:c>
      <x:c r="Q94" s="38" t="str">
        <x:v>Done</x:v>
      </x:c>
      <x:c r="R94" s="38" t="str">
        <x:v>II.16.2</x:v>
      </x:c>
      <x:c r="S94" s="38" t="str">
        <x:v>II.16.2</x:v>
      </x:c>
      <x:c r="T94" s="38" t="str">
        <x:v>EV-AI-02 / TC-AI-02</x:v>
      </x:c>
      <x:c r="U94" s="38" t="str">
        <x:v>Completed.</x:v>
      </x:c>
      <x:c r="V94" s="38" t="str">
        <x:v>Verified</x:v>
      </x:c>
    </x:row>
  </x:sheetData>
  <x:mergeCells>
    <x:mergeCell ref="A1:V1"/>
    <x:mergeCell ref="A2:V2"/>
    <x:mergeCell ref="A3:V3"/>
  </x:mergeCells>
  <x:conditionalFormatting sqref="Q5:Q94">
    <x:cfRule type="expression" dxfId="0" priority="1">
      <x:formula>Q5="Done"</x:formula>
    </x:cfRule>
    <x:cfRule type="expression" dxfId="1" priority="2">
      <x:formula>Q5="Updated"</x:formula>
    </x:cfRule>
    <x:cfRule type="expression" dxfId="2" priority="3">
      <x:formula>Q5="Doing"</x:formula>
    </x:cfRule>
    <x:cfRule type="expression" dxfId="3" priority="4">
      <x:formula>Q5="Not Started"</x:formula>
    </x:cfRule>
  </x:conditionalFormatting>
  <x:conditionalFormatting sqref="N5:N94">
    <x:cfRule type="expression" dxfId="4" priority="5">
      <x:formula>N5="Critical"</x:formula>
    </x:cfRule>
    <x:cfRule type="expression" dxfId="5" priority="6">
      <x:formula>N5="High"</x:formula>
    </x:cfRule>
    <x:cfRule type="expression" dxfId="6" priority="7">
      <x:formula>N5="Medium"</x:formula>
    </x:cfRule>
  </x:conditionalFormatting>
  <x:conditionalFormatting sqref="V5:V94">
    <x:cfRule type="expression" dxfId="7" priority="8">
      <x:formula>V5="Verified"</x:formula>
    </x:cfRule>
    <x:cfRule type="expression" dxfId="8" priority="9">
      <x:formula>V5="Partial"</x:formula>
    </x:cfRule>
    <x:cfRule type="expression" dxfId="9" priority="10">
      <x:formula>V5="Missing"</x:formula>
    </x:cfRule>
  </x:conditionalFormatting>
  <x:dataValidations count="6">
    <x:dataValidation type="list" sqref="J5:L94">
      <x:formula1>"none,Iter1,Iter2,Iter3,Iter4"</x:formula1>
    </x:dataValidation>
    <x:dataValidation type="list" sqref="M5:M94">
      <x:formula1>"Phan Nguyễn (DE191019),Phạm Văn Quyết (DE190425),Nguyễn Tiến Lộc (DE190986),Nguyễn Đức Thương (DE190096),Trần Thanh Gia Huy (DE180571)"</x:formula1>
    </x:dataValidation>
    <x:dataValidation type="list" sqref="N5:N94">
      <x:formula1>"Critical,High,Medium,Low"</x:formula1>
    </x:dataValidation>
    <x:dataValidation type="list" sqref="O5:O94">
      <x:formula1>"Simple,Medium,Complex"</x:formula1>
    </x:dataValidation>
    <x:dataValidation type="list" sqref="Q5:Q94">
      <x:formula1>"Not Started,Doing,Done,Updated"</x:formula1>
    </x:dataValidation>
    <x:dataValidation type="list" sqref="V5:V9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dbc41d142849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RESTAURANT MANAGEMENT SYSTEM – ITER1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25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AUTH-01</x:v>
      </x:c>
      <x:c r="C5" s="38" t="str">
        <x:v>Login Screen &amp; Client Validation</x:v>
      </x:c>
      <x:c r="D5" s="38" t="str">
        <x:v>Authentication &amp; Security</x:v>
      </x:c>
      <x:c r="E5" s="38" t="str">
        <x:v>UI Screen</x:v>
      </x:c>
      <x:c r="F5" s="38" t="str">
        <x:v>Guest, All Users</x:v>
      </x:c>
      <x:c r="G5" s="38" t="str">
        <x:v>Presents email/password fields, validates required format, shows field-level errors, and redirects authenticated users to the correct role workspace.</x:v>
      </x:c>
      <x:c r="H5" s="38" t="str">
        <x:v>Nguyễn Đức Thương (DE190096)</x:v>
      </x:c>
      <x:c r="I5" s="38" t="str">
        <x:v>High</x:v>
      </x:c>
      <x:c r="J5" s="38" t="str">
        <x:v>Medium</x:v>
      </x:c>
      <x:c r="K5" s="38" t="n">
        <x:v>120</x:v>
      </x:c>
      <x:c r="L5" s="38" t="str">
        <x:v>Week 1</x:v>
      </x:c>
      <x:c r="M5" s="38" t="str">
        <x:v>Done</x:v>
      </x:c>
      <x:c r="N5" s="38" t="str">
        <x:v>II.1.1</x:v>
      </x:c>
      <x:c r="O5" s="38" t="str">
        <x:v>II.1.1</x:v>
      </x:c>
      <x:c r="P5" s="38" t="str">
        <x:v>Valid input submits once; invalid input remains on screen with clear messages; successful login redirects by role without exposing credentials.</x:v>
      </x:c>
      <x:c r="Q5" s="38" t="str">
        <x:v>EV-AUTH-01 / TC-AUTH-01</x:v>
      </x:c>
      <x:c r="R5" s="38" t="str">
        <x:v>UI flow is available and connected to the authentication request.</x:v>
      </x:c>
    </x:row>
    <x:row r="6" ht="60" customHeight="1">
      <x:c r="A6" s="38" t="n">
        <x:v>2</x:v>
      </x:c>
      <x:c r="B6" s="38" t="str">
        <x:v>AUTH-02</x:v>
      </x:c>
      <x:c r="C6" s="38" t="str">
        <x:v>Credential Authentication API</x:v>
      </x:c>
      <x:c r="D6" s="38" t="str">
        <x:v>Authentication &amp; Security</x:v>
      </x:c>
      <x:c r="E6" s="38" t="str">
        <x:v>Backend API</x:v>
      </x:c>
      <x:c r="F6" s="38" t="str">
        <x:v>Guest</x:v>
      </x:c>
      <x:c r="G6" s="38" t="str">
        <x:v>Authenticates a submitted email and password against an active user account and returns a standardized success or failure response.</x:v>
      </x:c>
      <x:c r="H6" s="38" t="str">
        <x:v>Phạm Văn Quyết (DE190425)</x:v>
      </x:c>
      <x:c r="I6" s="38" t="str">
        <x:v>Critical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Done</x:v>
      </x:c>
      <x:c r="N6" s="38" t="str">
        <x:v>II.1.2</x:v>
      </x:c>
      <x:c r="O6" s="38" t="str">
        <x:v>II.1.2</x:v>
      </x:c>
      <x:c r="P6" s="38" t="str">
        <x:v>Correct credentials succeed; wrong password, unknown email, and inactive account return safe errors; API contract is covered by tests.</x:v>
      </x:c>
      <x:c r="Q6" s="38" t="str">
        <x:v>EV-AUTH-02 / TC-AUTH-02</x:v>
      </x:c>
      <x:c r="R6" s="38" t="str">
        <x:v>Core credential authentication is implemented; token hardening is tracked separately.</x:v>
      </x:c>
    </x:row>
    <x:row r="7" ht="60" customHeight="1">
      <x:c r="A7" s="38" t="n">
        <x:v>3</x:v>
      </x:c>
      <x:c r="B7" s="38" t="str">
        <x:v>AUTH-03</x:v>
      </x:c>
      <x:c r="C7" s="38" t="str">
        <x:v>Password Hashing &amp; Credential Verification</x:v>
      </x:c>
      <x:c r="D7" s="38" t="str">
        <x:v>Authentication &amp; Security</x:v>
      </x:c>
      <x:c r="E7" s="38" t="str">
        <x:v>Security Service</x:v>
      </x:c>
      <x:c r="F7" s="38" t="str">
        <x:v>Guest, All Users</x:v>
      </x:c>
      <x:c r="G7" s="38" t="str">
        <x:v>Encodes passwords before persistence and verifies credentials through the configured password encoder.</x:v>
      </x:c>
      <x:c r="H7" s="38" t="str">
        <x:v>Phạm Văn Quyết (DE190425)</x:v>
      </x:c>
      <x:c r="I7" s="38" t="str">
        <x:v>Critical</x:v>
      </x:c>
      <x:c r="J7" s="38" t="str">
        <x:v>Medium</x:v>
      </x:c>
      <x:c r="K7" s="38" t="n">
        <x:v>120</x:v>
      </x:c>
      <x:c r="L7" s="38" t="str">
        <x:v>Week 1</x:v>
      </x:c>
      <x:c r="M7" s="38" t="str">
        <x:v>Done</x:v>
      </x:c>
      <x:c r="N7" s="38" t="str">
        <x:v>II.1.3</x:v>
      </x:c>
      <x:c r="O7" s="38" t="str">
        <x:v>II.1.3</x:v>
      </x:c>
      <x:c r="P7" s="38" t="str">
        <x:v>Database contains only encoded passwords; registration/reset/login use the same encoder; negative password tests pass.</x:v>
      </x:c>
      <x:c r="Q7" s="38" t="str">
        <x:v>EV-AUTH-03 / TC-AUTH-03</x:v>
      </x:c>
      <x:c r="R7" s="38" t="str">
        <x:v>Security review must confirm no plaintext values in logs or seed scripts.</x:v>
      </x:c>
    </x:row>
    <x:row r="8" ht="60" customHeight="1">
      <x:c r="A8" s="38" t="n">
        <x:v>4</x:v>
      </x:c>
      <x:c r="B8" s="38" t="str">
        <x:v>AUTH-04</x:v>
      </x:c>
      <x:c r="C8" s="38" t="str">
        <x:v>JWT Access Token Generation</x:v>
      </x:c>
      <x:c r="D8" s="38" t="str">
        <x:v>Authentication &amp; Security</x:v>
      </x:c>
      <x:c r="E8" s="38" t="str">
        <x:v>Security Service</x:v>
      </x:c>
      <x:c r="F8" s="38" t="str">
        <x:v>Authenticated Users</x:v>
      </x:c>
      <x:c r="G8" s="38" t="str">
        <x:v>Creates a signed access token containing the user identity, role claims, issue time, and expiration after successful authentication.</x:v>
      </x:c>
      <x:c r="H8" s="38" t="str">
        <x:v>Phạm Văn Quyết (DE190425)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2</x:v>
      </x:c>
      <x:c r="M8" s="38" t="str">
        <x:v>Doing</x:v>
      </x:c>
      <x:c r="N8" s="38" t="str">
        <x:v>II.1.4</x:v>
      </x:c>
      <x:c r="O8" s="38" t="str">
        <x:v>II.1.4</x:v>
      </x:c>
      <x:c r="P8" s="38" t="str">
        <x:v>A valid login returns a signed token; signature and expiration can be verified; tampered tokens are rejected.</x:v>
      </x:c>
      <x:c r="Q8" s="38" t="str">
        <x:v>EV-AUTH-04 / TC-AUTH-04</x:v>
      </x:c>
      <x:c r="R8" s="38" t="str">
        <x:v>Token generation is incomplete and must be finalized before the final release tag.</x:v>
      </x:c>
    </x:row>
    <x:row r="9" ht="60" customHeight="1">
      <x:c r="A9" s="38" t="n">
        <x:v>5</x:v>
      </x:c>
      <x:c r="B9" s="38" t="str">
        <x:v>AUTH-05</x:v>
      </x:c>
      <x:c r="C9" s="38" t="str">
        <x:v>JWT Refresh Token Persistence</x:v>
      </x:c>
      <x:c r="D9" s="38" t="str">
        <x:v>Authentication &amp; Security</x:v>
      </x:c>
      <x:c r="E9" s="38" t="str">
        <x:v>Backend Service / DB</x:v>
      </x:c>
      <x:c r="F9" s="38" t="str">
        <x:v>Authenticated Users</x:v>
      </x:c>
      <x:c r="G9" s="38" t="str">
        <x:v>Stores refresh-token hashes and lifecycle metadata so an expired access token can be renewed without re-entering credentials.</x:v>
      </x:c>
      <x:c r="H9" s="38" t="str">
        <x:v>Phạm Văn Quyết (DE190425)</x:v>
      </x:c>
      <x:c r="I9" s="38" t="str">
        <x:v>Critical</x:v>
      </x:c>
      <x:c r="J9" s="38" t="str">
        <x:v>Complex</x:v>
      </x:c>
      <x:c r="K9" s="38" t="n">
        <x:v>240</x:v>
      </x:c>
      <x:c r="L9" s="38" t="str">
        <x:v>Week 2</x:v>
      </x:c>
      <x:c r="M9" s="38" t="str">
        <x:v>Not Started</x:v>
      </x:c>
      <x:c r="N9" s="38" t="str">
        <x:v>II.1.5</x:v>
      </x:c>
      <x:c r="O9" s="38" t="str">
        <x:v>II.1.5</x:v>
      </x:c>
      <x:c r="P9" s="38" t="str">
        <x:v>Valid refresh creates a new access token; expired/revoked/reused tokens fail; raw refresh tokens are not persisted.</x:v>
      </x:c>
      <x:c r="Q9" s="38" t="str">
        <x:v>EV-AUTH-05 / TC-AUTH-05</x:v>
      </x:c>
      <x:c r="R9" s="38" t="str">
        <x:v>Required database migration, entity, repository, service, and tests are missing.</x:v>
      </x:c>
    </x:row>
    <x:row r="10" ht="60" customHeight="1">
      <x:c r="A10" s="38" t="n">
        <x:v>6</x:v>
      </x:c>
      <x:c r="B10" s="38" t="str">
        <x:v>AUTH-06</x:v>
      </x:c>
      <x:c r="C10" s="38" t="str">
        <x:v>JWT Authentication Filter</x:v>
      </x:c>
      <x:c r="D10" s="38" t="str">
        <x:v>Authentication &amp; Security</x:v>
      </x:c>
      <x:c r="E10" s="38" t="str">
        <x:v>Security Filter</x:v>
      </x:c>
      <x:c r="F10" s="38" t="str">
        <x:v>Authenticated Users</x:v>
      </x:c>
      <x:c r="G10" s="38" t="str">
        <x:v>Reads the bearer token on every protected request, validates it, and populates the authenticated security context.</x:v>
      </x:c>
      <x:c r="H10" s="38" t="str">
        <x:v>Phạm Văn Quyết (DE190425)</x:v>
      </x:c>
      <x:c r="I10" s="38" t="str">
        <x:v>Critical</x:v>
      </x:c>
      <x:c r="J10" s="38" t="str">
        <x:v>Complex</x:v>
      </x:c>
      <x:c r="K10" s="38" t="n">
        <x:v>240</x:v>
      </x:c>
      <x:c r="L10" s="38" t="str">
        <x:v>Week 2</x:v>
      </x:c>
      <x:c r="M10" s="38" t="str">
        <x:v>Doing</x:v>
      </x:c>
      <x:c r="N10" s="38" t="str">
        <x:v>II.1.6</x:v>
      </x:c>
      <x:c r="O10" s="38" t="str">
        <x:v>II.1.6</x:v>
      </x:c>
      <x:c r="P10" s="38" t="str">
        <x:v>Protected requests with valid tokens reach controllers; missing/invalid/expired tokens return 401; public routes remain accessible.</x:v>
      </x:c>
      <x:c r="Q10" s="38" t="str">
        <x:v>EV-AUTH-06 / TC-AUTH-06</x:v>
      </x:c>
      <x:c r="R10" s="38" t="str">
        <x:v>Filter and integration tests are incomplete.</x:v>
      </x:c>
    </x:row>
    <x:row r="11" ht="60" customHeight="1">
      <x:c r="A11" s="38" t="n">
        <x:v>7</x:v>
      </x:c>
      <x:c r="B11" s="38" t="str">
        <x:v>AUTH-07</x:v>
      </x:c>
      <x:c r="C11" s="38" t="str">
        <x:v>Token Expiry &amp; Invalid Token Handling</x:v>
      </x:c>
      <x:c r="D11" s="38" t="str">
        <x:v>Authentication &amp; Security</x:v>
      </x:c>
      <x:c r="E11" s="38" t="str">
        <x:v>Exception Handling</x:v>
      </x:c>
      <x:c r="F11" s="38" t="str">
        <x:v>Authenticated Users</x:v>
      </x:c>
      <x:c r="G11" s="38" t="str">
        <x:v>Returns consistent error responses for expired, malformed, unsupported, or incorrectly signed tokens.</x:v>
      </x:c>
      <x:c r="H11" s="38" t="str">
        <x:v>Phạm Văn Quyết (DE190425)</x:v>
      </x:c>
      <x:c r="I11" s="38" t="str">
        <x:v>Critical</x:v>
      </x:c>
      <x:c r="J11" s="38" t="str">
        <x:v>Medium</x:v>
      </x:c>
      <x:c r="K11" s="38" t="n">
        <x:v>120</x:v>
      </x:c>
      <x:c r="L11" s="38" t="str">
        <x:v>Week 2</x:v>
      </x:c>
      <x:c r="M11" s="38" t="str">
        <x:v>Doing</x:v>
      </x:c>
      <x:c r="N11" s="38" t="str">
        <x:v>II.1.7</x:v>
      </x:c>
      <x:c r="O11" s="38" t="str">
        <x:v>II.1.7</x:v>
      </x:c>
      <x:c r="P11" s="38" t="str">
        <x:v>Each invalid-token scenario returns the expected HTTP status and message; frontend can distinguish expiry from authorization failure.</x:v>
      </x:c>
      <x:c r="Q11" s="38" t="str">
        <x:v>EV-AUTH-07 / TC-AUTH-07</x:v>
      </x:c>
      <x:c r="R11" s="38" t="str">
        <x:v>Standard exception mapping remains incomplete.</x:v>
      </x:c>
    </x:row>
    <x:row r="12" ht="60" customHeight="1">
      <x:c r="A12" s="38" t="n">
        <x:v>8</x:v>
      </x:c>
      <x:c r="B12" s="38" t="str">
        <x:v>AUTH-08</x:v>
      </x:c>
      <x:c r="C12" s="38" t="str">
        <x:v>Endpoint Role Authorization Matrix</x:v>
      </x:c>
      <x:c r="D12" s="38" t="str">
        <x:v>Authentication &amp; Security</x:v>
      </x:c>
      <x:c r="E12" s="38" t="str">
        <x:v>Authorization Policy</x:v>
      </x:c>
      <x:c r="F12" s="38" t="str">
        <x:v>Admin, Staff, Kitchen Staff, Customer</x:v>
      </x:c>
      <x:c r="G12" s="38" t="str">
        <x:v>Defines explicit access rules for all protected API groups and matches them with frontend role navigation.</x:v>
      </x:c>
      <x:c r="H12" s="38" t="str">
        <x:v>Phạm Văn Quyết (DE190425)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2</x:v>
      </x:c>
      <x:c r="M12" s="38" t="str">
        <x:v>Doing</x:v>
      </x:c>
      <x:c r="N12" s="38" t="str">
        <x:v>II.1.8</x:v>
      </x:c>
      <x:c r="O12" s="38" t="str">
        <x:v>II.1.8</x:v>
      </x:c>
      <x:c r="P12" s="38" t="str">
        <x:v>Authorization tests prove 401 for unauthenticated and 403 for wrong-role requests across representative endpoints.</x:v>
      </x:c>
      <x:c r="Q12" s="38" t="str">
        <x:v>EV-AUTH-08 / TC-AUTH-08</x:v>
      </x:c>
      <x:c r="R12" s="38" t="str">
        <x:v>SecurityConfig is currently too permissive and needs a complete endpoint matrix.</x:v>
      </x:c>
    </x:row>
    <x:row r="13" ht="60" customHeight="1">
      <x:c r="A13" s="38" t="n">
        <x:v>9</x:v>
      </x:c>
      <x:c r="B13" s="38" t="str">
        <x:v>AUTH-09</x:v>
      </x:c>
      <x:c r="C13" s="38" t="str">
        <x:v>Standard 401/403 Security Responses</x:v>
      </x:c>
      <x:c r="D13" s="38" t="str">
        <x:v>Authentication &amp; Security</x:v>
      </x:c>
      <x:c r="E13" s="38" t="str">
        <x:v>Exception Handling</x:v>
      </x:c>
      <x:c r="F13" s="38" t="str">
        <x:v>All Users</x:v>
      </x:c>
      <x:c r="G13" s="38" t="str">
        <x:v>Converts authentication and authorization failures into predictable JSON responses consumed by the frontend.</x:v>
      </x:c>
      <x:c r="H13" s="38" t="str">
        <x:v>Nguyễn Đức Thương (DE190096)</x:v>
      </x:c>
      <x:c r="I13" s="38" t="str">
        <x:v>High</x:v>
      </x:c>
      <x:c r="J13" s="38" t="str">
        <x:v>Medium</x:v>
      </x:c>
      <x:c r="K13" s="38" t="n">
        <x:v>120</x:v>
      </x:c>
      <x:c r="L13" s="38" t="str">
        <x:v>Week 2</x:v>
      </x:c>
      <x:c r="M13" s="38" t="str">
        <x:v>Doing</x:v>
      </x:c>
      <x:c r="N13" s="38" t="str">
        <x:v>II.1.9</x:v>
      </x:c>
      <x:c r="O13" s="38" t="str">
        <x:v>II.1.9</x:v>
      </x:c>
      <x:c r="P13" s="38" t="str">
        <x:v>Frontend receives stable error codes/messages; no HTML error page is returned by secured APIs; tests cover both statuses.</x:v>
      </x:c>
      <x:c r="Q13" s="38" t="str">
        <x:v>EV-AUTH-09 / TC-AUTH-09</x:v>
      </x:c>
      <x:c r="R13" s="38" t="str">
        <x:v>Must align with the global API response convention.</x:v>
      </x:c>
    </x:row>
    <x:row r="14" ht="60" customHeight="1">
      <x:c r="A14" s="38" t="n">
        <x:v>10</x:v>
      </x:c>
      <x:c r="B14" s="38" t="str">
        <x:v>AUTH-10</x:v>
      </x:c>
      <x:c r="C14" s="38" t="str">
        <x:v>Logout &amp; Token Revocation</x:v>
      </x:c>
      <x:c r="D14" s="38" t="str">
        <x:v>Authentication &amp; Security</x:v>
      </x:c>
      <x:c r="E14" s="38" t="str">
        <x:v>Backend API</x:v>
      </x:c>
      <x:c r="F14" s="38" t="str">
        <x:v>Authenticated Users</x:v>
      </x:c>
      <x:c r="G14" s="38" t="str">
        <x:v>Ends an authenticated session by revoking the current refresh token and clearing client authentication state.</x:v>
      </x:c>
      <x:c r="H14" s="38" t="str">
        <x:v>Phạm Văn Quyết (DE190425)</x:v>
      </x:c>
      <x:c r="I14" s="38" t="str">
        <x:v>High</x:v>
      </x:c>
      <x:c r="J14" s="38" t="str">
        <x:v>Medium</x:v>
      </x:c>
      <x:c r="K14" s="38" t="n">
        <x:v>120</x:v>
      </x:c>
      <x:c r="L14" s="38" t="str">
        <x:v>Week 2</x:v>
      </x:c>
      <x:c r="M14" s="38" t="str">
        <x:v>Not Started</x:v>
      </x:c>
      <x:c r="N14" s="38" t="str">
        <x:v>II.1.10</x:v>
      </x:c>
      <x:c r="O14" s="38" t="str">
        <x:v>II.1.10</x:v>
      </x:c>
      <x:c r="P14" s="38" t="str">
        <x:v>After logout, refresh fails and protected requests require a new login; repeated logout requests do not create errors.</x:v>
      </x:c>
      <x:c r="Q14" s="38" t="str">
        <x:v>EV-AUTH-10 / TC-AUTH-10</x:v>
      </x:c>
      <x:c r="R14" s="38" t="str">
        <x:v>Depends on refresh-token persistence.</x:v>
      </x:c>
    </x:row>
    <x:row r="15" ht="60" customHeight="1">
      <x:c r="A15" s="38" t="n">
        <x:v>11</x:v>
      </x:c>
      <x:c r="B15" s="38" t="str">
        <x:v>AUTH-11</x:v>
      </x:c>
      <x:c r="C15" s="38" t="str">
        <x:v>Registration Screen &amp; Validation</x:v>
      </x:c>
      <x:c r="D15" s="38" t="str">
        <x:v>Authentication &amp; Security</x:v>
      </x:c>
      <x:c r="E15" s="38" t="str">
        <x:v>UI Screen</x:v>
      </x:c>
      <x:c r="F15" s="38" t="str">
        <x:v>Guest</x:v>
      </x:c>
      <x:c r="G15" s="38" t="str">
        <x:v>Collects customer account information, validates required fields and password confirmation, and displays API validation errors.</x:v>
      </x:c>
      <x:c r="H15" s="38" t="str">
        <x:v>Phan Nguyễn (DE191019)</x:v>
      </x:c>
      <x:c r="I15" s="38" t="str">
        <x:v>High</x:v>
      </x:c>
      <x:c r="J15" s="38" t="str">
        <x:v>Medium</x:v>
      </x:c>
      <x:c r="K15" s="38" t="n">
        <x:v>120</x:v>
      </x:c>
      <x:c r="L15" s="38" t="str">
        <x:v>Week 1</x:v>
      </x:c>
      <x:c r="M15" s="38" t="str">
        <x:v>Done</x:v>
      </x:c>
      <x:c r="N15" s="38" t="str">
        <x:v>II.1.11</x:v>
      </x:c>
      <x:c r="O15" s="38" t="str">
        <x:v>II.1.11</x:v>
      </x:c>
      <x:c r="P15" s="38" t="str">
        <x:v>Valid data creates an account; invalid fields show messages; duplicate email feedback is shown without page crash.</x:v>
      </x:c>
      <x:c r="Q15" s="38" t="str">
        <x:v>EV-AUTH-11 / TC-AUTH-11</x:v>
      </x:c>
      <x:c r="R15" s="38" t="str">
        <x:v>Completed and integrated.</x:v>
      </x:c>
    </x:row>
    <x:row r="16" ht="60" customHeight="1">
      <x:c r="A16" s="38" t="n">
        <x:v>12</x:v>
      </x:c>
      <x:c r="B16" s="38" t="str">
        <x:v>AUTH-12</x:v>
      </x:c>
      <x:c r="C16" s="38" t="str">
        <x:v>Registration API &amp; Duplicate Email Check</x:v>
      </x:c>
      <x:c r="D16" s="38" t="str">
        <x:v>Authentication &amp; Security</x:v>
      </x:c>
      <x:c r="E16" s="38" t="str">
        <x:v>Backend API</x:v>
      </x:c>
      <x:c r="F16" s="38" t="str">
        <x:v>Guest</x:v>
      </x:c>
      <x:c r="G16" s="38" t="str">
        <x:v>Creates a customer account with the default role after validating input and uniqueness constraints.</x:v>
      </x:c>
      <x:c r="H16" s="38" t="str">
        <x:v>Phan Nguyễn (DE191019)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1</x:v>
      </x:c>
      <x:c r="M16" s="38" t="str">
        <x:v>Done</x:v>
      </x:c>
      <x:c r="N16" s="38" t="str">
        <x:v>II.1.12</x:v>
      </x:c>
      <x:c r="O16" s="38" t="str">
        <x:v>II.1.12</x:v>
      </x:c>
      <x:c r="P16" s="38" t="str">
        <x:v>New account is persisted with customer role; duplicate email and invalid input are rejected; tests verify role protection.</x:v>
      </x:c>
      <x:c r="Q16" s="38" t="str">
        <x:v>EV-AUTH-12 / TC-AUTH-12</x:v>
      </x:c>
      <x:c r="R16" s="38" t="str">
        <x:v>Database constraint and service validation must remain consistent.</x:v>
      </x:c>
    </x:row>
    <x:row r="17" ht="60" customHeight="1">
      <x:c r="A17" s="38" t="n">
        <x:v>13</x:v>
      </x:c>
      <x:c r="B17" s="38" t="str">
        <x:v>AUTH-13</x:v>
      </x:c>
      <x:c r="C17" s="38" t="str">
        <x:v>Forgot Password Request</x:v>
      </x:c>
      <x:c r="D17" s="38" t="str">
        <x:v>Authentication &amp; Security</x:v>
      </x:c>
      <x:c r="E17" s="38" t="str">
        <x:v>UI / Backend API</x:v>
      </x:c>
      <x:c r="F17" s="38" t="str">
        <x:v>Guest</x:v>
      </x:c>
      <x:c r="G17" s="38" t="str">
        <x:v>Allows a user to request a reset token or code without revealing whether the submitted email is registered.</x:v>
      </x:c>
      <x:c r="H17" s="38" t="str">
        <x:v>Nguyễn Đức Thương (DE190096)</x:v>
      </x:c>
      <x:c r="I17" s="38" t="str">
        <x:v>Medium</x:v>
      </x:c>
      <x:c r="J17" s="38" t="str">
        <x:v>Complex</x:v>
      </x:c>
      <x:c r="K17" s="38" t="n">
        <x:v>240</x:v>
      </x:c>
      <x:c r="L17" s="38" t="str">
        <x:v>Week 2</x:v>
      </x:c>
      <x:c r="M17" s="38" t="str">
        <x:v>Done</x:v>
      </x:c>
      <x:c r="N17" s="38" t="str">
        <x:v>II.1.13</x:v>
      </x:c>
      <x:c r="O17" s="38" t="str">
        <x:v>II.1.13</x:v>
      </x:c>
      <x:c r="P17" s="38" t="str">
        <x:v>Request always returns a safe response; valid accounts receive a usable reset token/code; repeated abuse is handled.</x:v>
      </x:c>
      <x:c r="Q17" s="38" t="str">
        <x:v>EV-AUTH-13 / TC-AUTH-13</x:v>
      </x:c>
      <x:c r="R17" s="38" t="str">
        <x:v>Implemented; final evidence should include valid and unknown email cases.</x:v>
      </x:c>
    </x:row>
    <x:row r="18" ht="60" customHeight="1">
      <x:c r="A18" s="38" t="n">
        <x:v>14</x:v>
      </x:c>
      <x:c r="B18" s="38" t="str">
        <x:v>AUTH-14</x:v>
      </x:c>
      <x:c r="C18" s="38" t="str">
        <x:v>Reset Password Token Validation</x:v>
      </x:c>
      <x:c r="D18" s="38" t="str">
        <x:v>Authentication &amp; Security</x:v>
      </x:c>
      <x:c r="E18" s="38" t="str">
        <x:v>Backend API</x:v>
      </x:c>
      <x:c r="F18" s="38" t="str">
        <x:v>Guest</x:v>
      </x:c>
      <x:c r="G18" s="38" t="str">
        <x:v>Validates the reset token/code, saves a new encoded password, and invalidates the token after successful use.</x:v>
      </x:c>
      <x:c r="H18" s="38" t="str">
        <x:v>Phạm Văn Quyết (DE190425)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Done</x:v>
      </x:c>
      <x:c r="N18" s="38" t="str">
        <x:v>II.1.14</x:v>
      </x:c>
      <x:c r="O18" s="38" t="str">
        <x:v>II.1.14</x:v>
      </x:c>
      <x:c r="P18" s="38" t="str">
        <x:v>Valid token updates the password once; old password stops working; expired/reused token tests pass.</x:v>
      </x:c>
      <x:c r="Q18" s="38" t="str">
        <x:v>EV-AUTH-14 / TC-AUTH-14</x:v>
      </x:c>
      <x:c r="R18" s="38" t="str">
        <x:v>Positive and negative token cases are included.</x:v>
      </x:c>
    </x:row>
    <x:row r="19" ht="60" customHeight="1">
      <x:c r="A19" s="38" t="n">
        <x:v>15</x:v>
      </x:c>
      <x:c r="B19" s="38" t="str">
        <x:v>USER-01</x:v>
      </x:c>
      <x:c r="C19" s="38" t="str">
        <x:v>View Own Profile</x:v>
      </x:c>
      <x:c r="D19" s="38" t="str">
        <x:v>User Management</x:v>
      </x:c>
      <x:c r="E19" s="38" t="str">
        <x:v>UI / Backend API</x:v>
      </x:c>
      <x:c r="F19" s="38" t="str">
        <x:v>Customer, Staff, Kitchen Staff, Admin</x:v>
      </x:c>
      <x:c r="G19" s="38" t="str">
        <x:v>Displays the authenticated user's profile and contact information using the current security identity.</x:v>
      </x:c>
      <x:c r="H19" s="38" t="str">
        <x:v>Phan Nguyễn (DE191019)</x:v>
      </x:c>
      <x:c r="I19" s="38" t="str">
        <x:v>Medium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Done</x:v>
      </x:c>
      <x:c r="N19" s="38" t="str">
        <x:v>II.2.1</x:v>
      </x:c>
      <x:c r="O19" s="38" t="str">
        <x:v>II.2.1</x:v>
      </x:c>
      <x:c r="P19" s="38" t="str">
        <x:v>Profile loads after login, contains only permitted fields, and rejects attempts to read another user's data.</x:v>
      </x:c>
      <x:c r="Q19" s="38" t="str">
        <x:v>EV-USER-01 / TC-USER-01</x:v>
      </x:c>
      <x:c r="R19" s="38" t="str">
        <x:v>Connected to authenticated profile data.</x:v>
      </x:c>
    </x:row>
    <x:row r="20" ht="60" customHeight="1">
      <x:c r="A20" s="38" t="n">
        <x:v>16</x:v>
      </x:c>
      <x:c r="B20" s="38" t="str">
        <x:v>USER-02</x:v>
      </x:c>
      <x:c r="C20" s="38" t="str">
        <x:v>Update Own Profile</x:v>
      </x:c>
      <x:c r="D20" s="38" t="str">
        <x:v>User Management</x:v>
      </x:c>
      <x:c r="E20" s="38" t="str">
        <x:v>UI / Backend API</x:v>
      </x:c>
      <x:c r="F20" s="38" t="str">
        <x:v>Customer, Staff, Kitchen Staff, Admin</x:v>
      </x:c>
      <x:c r="G20" s="38" t="str">
        <x:v>Allows permitted personal/contact fields and avatar data to be updated while preserving role, status, and credentials.</x:v>
      </x:c>
      <x:c r="H20" s="38" t="str">
        <x:v>Nguyễn Đức Thương (DE190096)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Updated</x:v>
      </x:c>
      <x:c r="N20" s="38" t="str">
        <x:v>II.2.2</x:v>
      </x:c>
      <x:c r="O20" s="38" t="str">
        <x:v>II.2.2</x:v>
      </x:c>
      <x:c r="P20" s="38" t="str">
        <x:v>Permitted changes persist after refresh; protected-field tampering is ignored/rejected; validation messages are clear.</x:v>
      </x:c>
      <x:c r="Q20" s="38" t="str">
        <x:v>EV-USER-02 / TC-USER-02</x:v>
      </x:c>
      <x:c r="R20" s="38" t="str">
        <x:v>Updated with stronger validation and avatar/contact handling.</x:v>
      </x:c>
    </x:row>
    <x:row r="21" ht="60" customHeight="1">
      <x:c r="A21" s="38" t="n">
        <x:v>17</x:v>
      </x:c>
      <x:c r="B21" s="38" t="str">
        <x:v>USER-03</x:v>
      </x:c>
      <x:c r="C21" s="38" t="str">
        <x:v>Admin User List &amp; Search</x:v>
      </x:c>
      <x:c r="D21" s="38" t="str">
        <x:v>User Management</x:v>
      </x:c>
      <x:c r="E21" s="38" t="str">
        <x:v>Admin Screen / API</x:v>
      </x:c>
      <x:c r="F21" s="38" t="str">
        <x:v>Admin</x:v>
      </x:c>
      <x:c r="G21" s="38" t="str">
        <x:v>Provides paginated account listing with search and filters by role and account status.</x:v>
      </x:c>
      <x:c r="H21" s="38" t="str">
        <x:v>Nguyễn Đức Thương (DE190096)</x:v>
      </x:c>
      <x:c r="I21" s="38" t="str">
        <x:v>Critical</x:v>
      </x:c>
      <x:c r="J21" s="38" t="str">
        <x:v>Complex</x:v>
      </x:c>
      <x:c r="K21" s="38" t="n">
        <x:v>240</x:v>
      </x:c>
      <x:c r="L21" s="38" t="str">
        <x:v>Week 2</x:v>
      </x:c>
      <x:c r="M21" s="38" t="str">
        <x:v>Doing</x:v>
      </x:c>
      <x:c r="N21" s="38" t="str">
        <x:v>II.2.3</x:v>
      </x:c>
      <x:c r="O21" s="38" t="str">
        <x:v>II.2.3</x:v>
      </x:c>
      <x:c r="P21" s="38" t="str">
        <x:v>Admin can load, search, filter, and open account details; non-admin requests return 403; empty results are handled.</x:v>
      </x:c>
      <x:c r="Q21" s="38" t="str">
        <x:v>EV-USER-03 / TC-USER-03</x:v>
      </x:c>
      <x:c r="R21" s="38" t="str">
        <x:v>Admin page and backend listing API are incomplete.</x:v>
      </x:c>
    </x:row>
    <x:row r="22" ht="60" customHeight="1">
      <x:c r="A22" s="38" t="n">
        <x:v>18</x:v>
      </x:c>
      <x:c r="B22" s="38" t="str">
        <x:v>USER-04</x:v>
      </x:c>
      <x:c r="C22" s="38" t="str">
        <x:v>Admin Change Role / Lock Account</x:v>
      </x:c>
      <x:c r="D22" s="38" t="str">
        <x:v>User Management</x:v>
      </x:c>
      <x:c r="E22" s="38" t="str">
        <x:v>Admin API</x:v>
      </x:c>
      <x:c r="F22" s="38" t="str">
        <x:v>Admin</x:v>
      </x:c>
      <x:c r="G22" s="38" t="str">
        <x:v>Allows safe role updates and account activation/locking with protection for critical accounts and active sessions.</x:v>
      </x:c>
      <x:c r="H22" s="38" t="str">
        <x:v>Phan Nguyễn (DE191019)</x:v>
      </x:c>
      <x:c r="I22" s="38" t="str">
        <x:v>Critical</x:v>
      </x:c>
      <x:c r="J22" s="38" t="str">
        <x:v>Complex</x:v>
      </x:c>
      <x:c r="K22" s="38" t="n">
        <x:v>240</x:v>
      </x:c>
      <x:c r="L22" s="38" t="str">
        <x:v>Week 2</x:v>
      </x:c>
      <x:c r="M22" s="38" t="str">
        <x:v>Not Started</x:v>
      </x:c>
      <x:c r="N22" s="38" t="str">
        <x:v>II.2.4</x:v>
      </x:c>
      <x:c r="O22" s="38" t="str">
        <x:v>II.2.4</x:v>
      </x:c>
      <x:c r="P22" s="38" t="str">
        <x:v>Allowed changes persist and affect authorization; unsafe changes are blocked; account lock prevents login immediately.</x:v>
      </x:c>
      <x:c r="Q22" s="38" t="str">
        <x:v>EV-USER-04 / TC-USER-04</x:v>
      </x:c>
      <x:c r="R22" s="38" t="str">
        <x:v>Role/status APIs, UI actions, audit logging, and regression tests are missing.</x:v>
      </x:c>
    </x:row>
    <x:row r="23" ht="60" customHeight="1">
      <x:c r="A23" s="38" t="n">
        <x:v>19</x:v>
      </x:c>
      <x:c r="B23" s="38" t="str">
        <x:v>MENU-01</x:v>
      </x:c>
      <x:c r="C23" s="38" t="str">
        <x:v>Category List</x:v>
      </x:c>
      <x:c r="D23" s="38" t="str">
        <x:v>Menu Management</x:v>
      </x:c>
      <x:c r="E23" s="38" t="str">
        <x:v>Admin Screen / API</x:v>
      </x:c>
      <x:c r="F23" s="38" t="str">
        <x:v>Admin</x:v>
      </x:c>
      <x:c r="G23" s="38" t="str">
        <x:v>Lists categories with status, search, and item usage information for administration.</x:v>
      </x:c>
      <x:c r="H23" s="38" t="str">
        <x:v>Phan Nguyễn (DE191019)</x:v>
      </x:c>
      <x:c r="I23" s="38" t="str">
        <x:v>Medium</x:v>
      </x:c>
      <x:c r="J23" s="38" t="str">
        <x:v>Medium</x:v>
      </x:c>
      <x:c r="K23" s="38" t="n">
        <x:v>120</x:v>
      </x:c>
      <x:c r="L23" s="38" t="str">
        <x:v>Week 1</x:v>
      </x:c>
      <x:c r="M23" s="38" t="str">
        <x:v>Done</x:v>
      </x:c>
      <x:c r="N23" s="38" t="str">
        <x:v>II.3.1</x:v>
      </x:c>
      <x:c r="O23" s="38" t="str">
        <x:v>II.3.1</x:v>
      </x:c>
      <x:c r="P23" s="38" t="str">
        <x:v>Admin can search and filter categories; list reflects database state and handles no-data cases.</x:v>
      </x:c>
      <x:c r="Q23" s="38" t="str">
        <x:v>EV-MENU-01 / TC-MENU-01</x:v>
      </x:c>
      <x:c r="R23" s="38" t="str">
        <x:v>Completed.</x:v>
      </x:c>
    </x:row>
    <x:row r="24" ht="60" customHeight="1">
      <x:c r="A24" s="38" t="n">
        <x:v>20</x:v>
      </x:c>
      <x:c r="B24" s="38" t="str">
        <x:v>MENU-02</x:v>
      </x:c>
      <x:c r="C24" s="38" t="str">
        <x:v>Create / Update Category</x:v>
      </x:c>
      <x:c r="D24" s="38" t="str">
        <x:v>Menu Management</x:v>
      </x:c>
      <x:c r="E24" s="38" t="str">
        <x:v>Admin Screen / API</x:v>
      </x:c>
      <x:c r="F24" s="38" t="str">
        <x:v>Admin</x:v>
      </x:c>
      <x:c r="G24" s="38" t="str">
        <x:v>Creates and edits menu categories with normalized names and optional descriptions.</x:v>
      </x:c>
      <x:c r="H24" s="38" t="str">
        <x:v>Phan Nguyễn (DE191019)</x:v>
      </x:c>
      <x:c r="I24" s="38" t="str">
        <x:v>High</x:v>
      </x:c>
      <x:c r="J24" s="38" t="str">
        <x:v>Medium</x:v>
      </x:c>
      <x:c r="K24" s="38" t="n">
        <x:v>120</x:v>
      </x:c>
      <x:c r="L24" s="38" t="str">
        <x:v>Week 1</x:v>
      </x:c>
      <x:c r="M24" s="38" t="str">
        <x:v>Done</x:v>
      </x:c>
      <x:c r="N24" s="38" t="str">
        <x:v>II.3.2</x:v>
      </x:c>
      <x:c r="O24" s="38" t="str">
        <x:v>II.3.2</x:v>
      </x:c>
      <x:c r="P24" s="38" t="str">
        <x:v>Create/update persists valid data; duplicates and blank names are rejected with clear feedback.</x:v>
      </x:c>
      <x:c r="Q24" s="38" t="str">
        <x:v>EV-MENU-02 / TC-MENU-02</x:v>
      </x:c>
      <x:c r="R24" s="38" t="str">
        <x:v>Completed with duplicate-name validation.</x:v>
      </x:c>
    </x:row>
    <x:row r="25" ht="60" customHeight="1">
      <x:c r="A25" s="38" t="n">
        <x:v>21</x:v>
      </x:c>
      <x:c r="B25" s="38" t="str">
        <x:v>MENU-03</x:v>
      </x:c>
      <x:c r="C25" s="38" t="str">
        <x:v>Deactivate Category &amp; Referential Rule</x:v>
      </x:c>
      <x:c r="D25" s="38" t="str">
        <x:v>Menu Management</x:v>
      </x:c>
      <x:c r="E25" s="38" t="str">
        <x:v>Admin API</x:v>
      </x:c>
      <x:c r="F25" s="38" t="str">
        <x:v>Admin</x:v>
      </x:c>
      <x:c r="G25" s="38" t="str">
        <x:v>Deactivates a category while preserving historical references and preventing unsafe deletion when foods still depend on it.</x:v>
      </x:c>
      <x:c r="H25" s="38" t="str">
        <x:v>Phan Nguyễn (DE191019)</x:v>
      </x:c>
      <x:c r="I25" s="38" t="str">
        <x:v>High</x:v>
      </x:c>
      <x:c r="J25" s="38" t="str">
        <x:v>Complex</x:v>
      </x:c>
      <x:c r="K25" s="38" t="n">
        <x:v>240</x:v>
      </x:c>
      <x:c r="L25" s="38" t="str">
        <x:v>Week 1</x:v>
      </x:c>
      <x:c r="M25" s="38" t="str">
        <x:v>Done</x:v>
      </x:c>
      <x:c r="N25" s="38" t="str">
        <x:v>II.3.3</x:v>
      </x:c>
      <x:c r="O25" s="38" t="str">
        <x:v>II.3.3</x:v>
      </x:c>
      <x:c r="P25" s="38" t="str">
        <x:v>Deactivation is safe and reversible; existing historical food/order data remains valid.</x:v>
      </x:c>
      <x:c r="Q25" s="38" t="str">
        <x:v>EV-MENU-03 / TC-MENU-03</x:v>
      </x:c>
      <x:c r="R25" s="38" t="str">
        <x:v>Referential integrity behavior is documented.</x:v>
      </x:c>
    </x:row>
    <x:row r="26" ht="60" customHeight="1">
      <x:c r="A26" s="38" t="n">
        <x:v>22</x:v>
      </x:c>
      <x:c r="B26" s="38" t="str">
        <x:v>MENU-04</x:v>
      </x:c>
      <x:c r="C26" s="38" t="str">
        <x:v>Admin Food List / Search / Filter</x:v>
      </x:c>
      <x:c r="D26" s="38" t="str">
        <x:v>Menu Management</x:v>
      </x:c>
      <x:c r="E26" s="38" t="str">
        <x:v>Admin Screen / API</x:v>
      </x:c>
      <x:c r="F26" s="38" t="str">
        <x:v>Admin</x:v>
      </x:c>
      <x:c r="G26" s="38" t="str">
        <x:v>Lists foods with category, price, availability, status, and keyword/category filters.</x:v>
      </x:c>
      <x:c r="H26" s="38" t="str">
        <x:v>Phan Nguyễn (DE191019)</x:v>
      </x:c>
      <x:c r="I26" s="38" t="str">
        <x:v>High</x:v>
      </x:c>
      <x:c r="J26" s="38" t="str">
        <x:v>Medium</x:v>
      </x:c>
      <x:c r="K26" s="38" t="n">
        <x:v>120</x:v>
      </x:c>
      <x:c r="L26" s="38" t="str">
        <x:v>Week 1</x:v>
      </x:c>
      <x:c r="M26" s="38" t="str">
        <x:v>Updated</x:v>
      </x:c>
      <x:c r="N26" s="38" t="str">
        <x:v>II.3.4</x:v>
      </x:c>
      <x:c r="O26" s="38" t="str">
        <x:v>II.3.4</x:v>
      </x:c>
      <x:c r="P26" s="38" t="str">
        <x:v>Search/filter results are correct; list refreshes after changes; no-data and API-error states are shown.</x:v>
      </x:c>
      <x:c r="Q26" s="38" t="str">
        <x:v>EV-MENU-04 / TC-MENU-04</x:v>
      </x:c>
      <x:c r="R26" s="38" t="str">
        <x:v>Enhanced search and availability display.</x:v>
      </x:c>
    </x:row>
    <x:row r="27" ht="60" customHeight="1">
      <x:c r="A27" s="38" t="n">
        <x:v>23</x:v>
      </x:c>
      <x:c r="B27" s="38" t="str">
        <x:v>MENU-05</x:v>
      </x:c>
      <x:c r="C27" s="38" t="str">
        <x:v>Create / Update Food Item</x:v>
      </x:c>
      <x:c r="D27" s="38" t="str">
        <x:v>Menu Management</x:v>
      </x:c>
      <x:c r="E27" s="38" t="str">
        <x:v>Admin Screen / API</x:v>
      </x:c>
      <x:c r="F27" s="38" t="str">
        <x:v>Admin</x:v>
      </x:c>
      <x:c r="G27" s="38" t="str">
        <x:v>Creates and edits food name, category, price, description, image reference, status, and availability.</x:v>
      </x:c>
      <x:c r="H27" s="38" t="str">
        <x:v>Phan Nguyễn (DE191019)</x:v>
      </x:c>
      <x:c r="I27" s="38" t="str">
        <x:v>High</x:v>
      </x:c>
      <x:c r="J27" s="38" t="str">
        <x:v>Complex</x:v>
      </x:c>
      <x:c r="K27" s="38" t="n">
        <x:v>240</x:v>
      </x:c>
      <x:c r="L27" s="38" t="str">
        <x:v>Week 1</x:v>
      </x:c>
      <x:c r="M27" s="38" t="str">
        <x:v>Updated</x:v>
      </x:c>
      <x:c r="N27" s="38" t="str">
        <x:v>II.3.5</x:v>
      </x:c>
      <x:c r="O27" s="38" t="str">
        <x:v>II.3.5</x:v>
      </x:c>
      <x:c r="P27" s="38" t="str">
        <x:v>Valid foods persist and appear in the proper menu; invalid price/category/data are rejected; updates preserve order history snapshots.</x:v>
      </x:c>
      <x:c r="Q27" s="38" t="str">
        <x:v>EV-MENU-05 / TC-MENU-05</x:v>
      </x:c>
      <x:c r="R27" s="38" t="str">
        <x:v>Integrated with cart, order, kitchen, and reporting data.</x:v>
      </x:c>
    </x:row>
    <x:row r="28" ht="60" customHeight="1">
      <x:c r="A28" s="38" t="n">
        <x:v>24</x:v>
      </x:c>
      <x:c r="B28" s="38" t="str">
        <x:v>MENU-06</x:v>
      </x:c>
      <x:c r="C28" s="38" t="str">
        <x:v>Food Image &amp; Availability Management</x:v>
      </x:c>
      <x:c r="D28" s="38" t="str">
        <x:v>Menu Management</x:v>
      </x:c>
      <x:c r="E28" s="38" t="str">
        <x:v>UI / Backend API</x:v>
      </x:c>
      <x:c r="F28" s="38" t="str">
        <x:v>Admin</x:v>
      </x:c>
      <x:c r="G28" s="38" t="str">
        <x:v>Updates food image metadata and operational availability separately from active master-data status.</x:v>
      </x:c>
      <x:c r="H28" s="38" t="str">
        <x:v>Nguyễn Đức Thương (DE190096)</x:v>
      </x:c>
      <x:c r="I28" s="38" t="str">
        <x:v>High</x:v>
      </x:c>
      <x:c r="J28" s="38" t="str">
        <x:v>Complex</x:v>
      </x:c>
      <x:c r="K28" s="38" t="n">
        <x:v>240</x:v>
      </x:c>
      <x:c r="L28" s="38" t="str">
        <x:v>Week 2</x:v>
      </x:c>
      <x:c r="M28" s="38" t="str">
        <x:v>Updated</x:v>
      </x:c>
      <x:c r="N28" s="38" t="str">
        <x:v>II.3.6</x:v>
      </x:c>
      <x:c r="O28" s="38" t="str">
        <x:v>II.3.6</x:v>
      </x:c>
      <x:c r="P28" s="38" t="str">
        <x:v>Image/availability changes persist; customer menu updates; unavailable item ordering is blocked server-side.</x:v>
      </x:c>
      <x:c r="Q28" s="38" t="str">
        <x:v>EV-MENU-06 / TC-MENU-06</x:v>
      </x:c>
      <x:c r="R28" s="38" t="str">
        <x:v>Server-side availability validation remains part of order acceptance testing.</x:v>
      </x:c>
    </x:row>
    <x:row r="29" ht="60" customHeight="1">
      <x:c r="A29" s="38" t="n">
        <x:v>25</x:v>
      </x:c>
      <x:c r="B29" s="38" t="str">
        <x:v>MENU-07</x:v>
      </x:c>
      <x:c r="C29" s="38" t="str">
        <x:v>Customer Menu Browse / Detail / Filter</x:v>
      </x:c>
      <x:c r="D29" s="38" t="str">
        <x:v>Menu Management</x:v>
      </x:c>
      <x:c r="E29" s="38" t="str">
        <x:v>Customer Screen</x:v>
      </x:c>
      <x:c r="F29" s="38" t="str">
        <x:v>Guest, Customer</x:v>
      </x:c>
      <x:c r="G29" s="38" t="str">
        <x:v>Displays active available foods grouped by category with details, keyword search, and category filtering.</x:v>
      </x:c>
      <x:c r="H29" s="38" t="str">
        <x:v>Phan Nguyễn (DE191019)</x:v>
      </x:c>
      <x:c r="I29" s="38" t="str">
        <x:v>High</x:v>
      </x:c>
      <x:c r="J29" s="38" t="str">
        <x:v>Medium</x:v>
      </x:c>
      <x:c r="K29" s="38" t="n">
        <x:v>120</x:v>
      </x:c>
      <x:c r="L29" s="38" t="str">
        <x:v>Week 2</x:v>
      </x:c>
      <x:c r="M29" s="38" t="str">
        <x:v>Done</x:v>
      </x:c>
      <x:c r="N29" s="38" t="str">
        <x:v>II.3.7</x:v>
      </x:c>
      <x:c r="O29" s="38" t="str">
        <x:v>II.3.7</x:v>
      </x:c>
      <x:c r="P29" s="38" t="str">
        <x:v>Customer can browse and filter live menu data; unavailable items are hidden/disabled; cart entry points work.</x:v>
      </x:c>
      <x:c r="Q29" s="38" t="str">
        <x:v>EV-MENU-07 / TC-MENU-07</x:v>
      </x:c>
      <x:c r="R29" s="38" t="str">
        <x:v>Responsive customer menu is completed.</x:v>
      </x:c>
    </x:row>
  </x:sheetData>
  <x:mergeCells>
    <x:mergeCell ref="A1:R1"/>
    <x:mergeCell ref="A2:R2"/>
    <x:mergeCell ref="A3:R3"/>
  </x:mergeCells>
  <x:conditionalFormatting sqref="M5:M29">
    <x:cfRule type="expression" dxfId="10" priority="1">
      <x:formula>M5="Done"</x:formula>
    </x:cfRule>
    <x:cfRule type="expression" dxfId="11" priority="2">
      <x:formula>M5="Updated"</x:formula>
    </x:cfRule>
    <x:cfRule type="expression" dxfId="12" priority="3">
      <x:formula>M5="Doing"</x:formula>
    </x:cfRule>
    <x:cfRule type="expression" dxfId="13" priority="4">
      <x:formula>M5="Not Started"</x:formula>
    </x:cfRule>
  </x:conditionalFormatting>
  <x:dataValidations count="5">
    <x:dataValidation type="list" sqref="H5:H29">
      <x:formula1>"Phan Nguyễn (DE191019),Phạm Văn Quyết (DE190425),Nguyễn Tiến Lộc (DE190986),Nguyễn Đức Thương (DE190096),Trần Thanh Gia Huy (DE180571)"</x:formula1>
    </x:dataValidation>
    <x:dataValidation type="list" sqref="I5:I29">
      <x:formula1>"Critical,High,Medium,Low"</x:formula1>
    </x:dataValidation>
    <x:dataValidation type="list" sqref="J5:J29">
      <x:formula1>"Simple,Medium,Complex"</x:formula1>
    </x:dataValidation>
    <x:dataValidation type="list" sqref="L5:L29">
      <x:formula1>"Week 1,Week 2"</x:formula1>
    </x:dataValidation>
    <x:dataValidation type="list" sqref="M5:M29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ab79968e264b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RESTAURANT MANAGEMENT SYSTEM – ITER2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20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TABLE-01</x:v>
      </x:c>
      <x:c r="C5" s="38" t="str">
        <x:v>View Table List &amp; Availability</x:v>
      </x:c>
      <x:c r="D5" s="38" t="str">
        <x:v>Table Management</x:v>
      </x:c>
      <x:c r="E5" s="38" t="str">
        <x:v>UI / Backend API</x:v>
      </x:c>
      <x:c r="F5" s="38" t="str">
        <x:v>Customer, Staff, Admin</x:v>
      </x:c>
      <x:c r="G5" s="38" t="str">
        <x:v>Displays restaurant tables with table number, capacity, status, and availability appropriate to the current role.</x:v>
      </x:c>
      <x:c r="H5" s="38" t="str">
        <x:v>Nguyễn Đức Thương (DE190096)</x:v>
      </x:c>
      <x:c r="I5" s="38" t="str">
        <x:v>High</x:v>
      </x:c>
      <x:c r="J5" s="38" t="str">
        <x:v>Complex</x:v>
      </x:c>
      <x:c r="K5" s="38" t="n">
        <x:v>240</x:v>
      </x:c>
      <x:c r="L5" s="38" t="str">
        <x:v>Week 1</x:v>
      </x:c>
      <x:c r="M5" s="38" t="str">
        <x:v>Done</x:v>
      </x:c>
      <x:c r="N5" s="38" t="str">
        <x:v>II.4.1</x:v>
      </x:c>
      <x:c r="O5" s="38" t="str">
        <x:v>II.4.1</x:v>
      </x:c>
      <x:c r="P5" s="38" t="str">
        <x:v>Role-appropriate table data loads correctly; statuses match database state; no-data and error states are handled.</x:v>
      </x:c>
      <x:c r="Q5" s="38" t="str">
        <x:v>EV-TABLE-01 / TC-TABLE-01</x:v>
      </x:c>
      <x:c r="R5" s="38" t="str">
        <x:v>Completed.</x:v>
      </x:c>
    </x:row>
    <x:row r="6" ht="60" customHeight="1">
      <x:c r="A6" s="38" t="n">
        <x:v>2</x:v>
      </x:c>
      <x:c r="B6" s="38" t="str">
        <x:v>TABLE-02</x:v>
      </x:c>
      <x:c r="C6" s="38" t="str">
        <x:v>Admin Create / Update Table</x:v>
      </x:c>
      <x:c r="D6" s="38" t="str">
        <x:v>Table Management</x:v>
      </x:c>
      <x:c r="E6" s="38" t="str">
        <x:v>Admin Screen / API</x:v>
      </x:c>
      <x:c r="F6" s="38" t="str">
        <x:v>Admin</x:v>
      </x:c>
      <x:c r="G6" s="38" t="str">
        <x:v>Creates and edits restaurant table master data including number, capacity, status, and active flag.</x:v>
      </x:c>
      <x:c r="H6" s="38" t="str">
        <x:v>Phạm Văn Quyết (DE190425)</x:v>
      </x:c>
      <x:c r="I6" s="38" t="str">
        <x:v>High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Updated</x:v>
      </x:c>
      <x:c r="N6" s="38" t="str">
        <x:v>II.4.2</x:v>
      </x:c>
      <x:c r="O6" s="38" t="str">
        <x:v>II.4.2</x:v>
      </x:c>
      <x:c r="P6" s="38" t="str">
        <x:v>Valid changes persist; duplicates and invalid capacity are rejected; updates appear in reservation/staff screens.</x:v>
      </x:c>
      <x:c r="Q6" s="38" t="str">
        <x:v>EV-TABLE-02 / TC-TABLE-02</x:v>
      </x:c>
      <x:c r="R6" s="38" t="str">
        <x:v>Operational status handling was strengthened.</x:v>
      </x:c>
    </x:row>
    <x:row r="7" ht="60" customHeight="1">
      <x:c r="A7" s="38" t="n">
        <x:v>3</x:v>
      </x:c>
      <x:c r="B7" s="38" t="str">
        <x:v>TABLE-03</x:v>
      </x:c>
      <x:c r="C7" s="38" t="str">
        <x:v>Table Capacity Validation</x:v>
      </x:c>
      <x:c r="D7" s="38" t="str">
        <x:v>Table Management</x:v>
      </x:c>
      <x:c r="E7" s="38" t="str">
        <x:v>Business Service</x:v>
      </x:c>
      <x:c r="F7" s="38" t="str">
        <x:v>Admin, Staff, Customer</x:v>
      </x:c>
      <x:c r="G7" s="38" t="str">
        <x:v>Validates table capacity during table maintenance, reservation matching, and staff assignment.</x:v>
      </x:c>
      <x:c r="H7" s="38" t="str">
        <x:v>Phạm Văn Quyết (DE190425)</x:v>
      </x:c>
      <x:c r="I7" s="38" t="str">
        <x:v>High</x:v>
      </x:c>
      <x:c r="J7" s="38" t="str">
        <x:v>Medium</x:v>
      </x:c>
      <x:c r="K7" s="38" t="n">
        <x:v>120</x:v>
      </x:c>
      <x:c r="L7" s="38" t="str">
        <x:v>Week 1</x:v>
      </x:c>
      <x:c r="M7" s="38" t="str">
        <x:v>Done</x:v>
      </x:c>
      <x:c r="N7" s="38" t="str">
        <x:v>II.4.3</x:v>
      </x:c>
      <x:c r="O7" s="38" t="str">
        <x:v>II.4.3</x:v>
      </x:c>
      <x:c r="P7" s="38" t="str">
        <x:v>Invalid capacity and oversized party selections are rejected consistently in UI and API tests.</x:v>
      </x:c>
      <x:c r="Q7" s="38" t="str">
        <x:v>EV-TABLE-03 / TC-TABLE-03</x:v>
      </x:c>
      <x:c r="R7" s="38" t="str">
        <x:v>Shared validation is used by reservation logic.</x:v>
      </x:c>
    </x:row>
    <x:row r="8" ht="60" customHeight="1">
      <x:c r="A8" s="38" t="n">
        <x:v>4</x:v>
      </x:c>
      <x:c r="B8" s="38" t="str">
        <x:v>TABLE-04</x:v>
      </x:c>
      <x:c r="C8" s="38" t="str">
        <x:v>Table Number Uniqueness</x:v>
      </x:c>
      <x:c r="D8" s="38" t="str">
        <x:v>Table Management</x:v>
      </x:c>
      <x:c r="E8" s="38" t="str">
        <x:v>Database / Service Validation</x:v>
      </x:c>
      <x:c r="F8" s="38" t="str">
        <x:v>Admin</x:v>
      </x:c>
      <x:c r="G8" s="38" t="str">
        <x:v>Prevents duplicate table numbers through service validation and a database uniqueness constraint.</x:v>
      </x:c>
      <x:c r="H8" s="38" t="str">
        <x:v>Phan Nguyễn (DE191019)</x:v>
      </x:c>
      <x:c r="I8" s="38" t="str">
        <x:v>High</x:v>
      </x:c>
      <x:c r="J8" s="38" t="str">
        <x:v>Medium</x:v>
      </x:c>
      <x:c r="K8" s="38" t="n">
        <x:v>120</x:v>
      </x:c>
      <x:c r="L8" s="38" t="str">
        <x:v>Week 1</x:v>
      </x:c>
      <x:c r="M8" s="38" t="str">
        <x:v>Done</x:v>
      </x:c>
      <x:c r="N8" s="38" t="str">
        <x:v>II.4.4</x:v>
      </x:c>
      <x:c r="O8" s="38" t="str">
        <x:v>II.4.4</x:v>
      </x:c>
      <x:c r="P8" s="38" t="str">
        <x:v>Duplicate requests return a conflict/validation error and only one table record exists after concurrent tests.</x:v>
      </x:c>
      <x:c r="Q8" s="38" t="str">
        <x:v>EV-TABLE-04 / TC-TABLE-04</x:v>
      </x:c>
      <x:c r="R8" s="38" t="str">
        <x:v>Database constraint evidence required in final package.</x:v>
      </x:c>
    </x:row>
    <x:row r="9" ht="60" customHeight="1">
      <x:c r="A9" s="38" t="n">
        <x:v>5</x:v>
      </x:c>
      <x:c r="B9" s="38" t="str">
        <x:v>TABLE-05</x:v>
      </x:c>
      <x:c r="C9" s="38" t="str">
        <x:v>Table Operational Status Update</x:v>
      </x:c>
      <x:c r="D9" s="38" t="str">
        <x:v>Table Management</x:v>
      </x:c>
      <x:c r="E9" s="38" t="str">
        <x:v>Staff / Admin API</x:v>
      </x:c>
      <x:c r="F9" s="38" t="str">
        <x:v>Staff, Admin</x:v>
      </x:c>
      <x:c r="G9" s="38" t="str">
        <x:v>Updates operational table state such as available, reserved, occupied, or unavailable with controlled transitions.</x:v>
      </x:c>
      <x:c r="H9" s="38" t="str">
        <x:v>Trần Thanh Gia Huy (DE180571)</x:v>
      </x:c>
      <x:c r="I9" s="38" t="str">
        <x:v>High</x:v>
      </x:c>
      <x:c r="J9" s="38" t="str">
        <x:v>Complex</x:v>
      </x:c>
      <x:c r="K9" s="38" t="n">
        <x:v>240</x:v>
      </x:c>
      <x:c r="L9" s="38" t="str">
        <x:v>Week 2</x:v>
      </x:c>
      <x:c r="M9" s="38" t="str">
        <x:v>Updated</x:v>
      </x:c>
      <x:c r="N9" s="38" t="str">
        <x:v>II.4.5</x:v>
      </x:c>
      <x:c r="O9" s="38" t="str">
        <x:v>II.4.5</x:v>
      </x:c>
      <x:c r="P9" s="38" t="str">
        <x:v>Allowed transitions succeed; invalid transitions return business errors; reservation/order flows remain synchronized.</x:v>
      </x:c>
      <x:c r="Q9" s="38" t="str">
        <x:v>EV-TABLE-05 / TC-TABLE-05</x:v>
      </x:c>
      <x:c r="R9" s="38" t="str">
        <x:v>Status transition rules were expanded.</x:v>
      </x:c>
    </x:row>
    <x:row r="10" ht="60" customHeight="1">
      <x:c r="A10" s="38" t="n">
        <x:v>6</x:v>
      </x:c>
      <x:c r="B10" s="38" t="str">
        <x:v>TABLE-06</x:v>
      </x:c>
      <x:c r="C10" s="38" t="str">
        <x:v>Table Search &amp; Filter</x:v>
      </x:c>
      <x:c r="D10" s="38" t="str">
        <x:v>Table Management</x:v>
      </x:c>
      <x:c r="E10" s="38" t="str">
        <x:v>UI / Backend API</x:v>
      </x:c>
      <x:c r="F10" s="38" t="str">
        <x:v>Staff, Admin</x:v>
      </x:c>
      <x:c r="G10" s="38" t="str">
        <x:v>Supports search and filtering by table number, capacity, active flag, and operational status.</x:v>
      </x:c>
      <x:c r="H10" s="38" t="str">
        <x:v>Trần Thanh Gia Huy (DE180571)</x:v>
      </x:c>
      <x:c r="I10" s="38" t="str">
        <x:v>Medium</x:v>
      </x:c>
      <x:c r="J10" s="38" t="str">
        <x:v>Complex</x:v>
      </x:c>
      <x:c r="K10" s="38" t="n">
        <x:v>240</x:v>
      </x:c>
      <x:c r="L10" s="38" t="str">
        <x:v>Week 2</x:v>
      </x:c>
      <x:c r="M10" s="38" t="str">
        <x:v>Done</x:v>
      </x:c>
      <x:c r="N10" s="38" t="str">
        <x:v>II.4.6</x:v>
      </x:c>
      <x:c r="O10" s="38" t="str">
        <x:v>II.4.6</x:v>
      </x:c>
      <x:c r="P10" s="38" t="str">
        <x:v>Combined filters return correct records and reset correctly; empty results display cleanly.</x:v>
      </x:c>
      <x:c r="Q10" s="38" t="str">
        <x:v>EV-TABLE-06 / TC-TABLE-06</x:v>
      </x:c>
      <x:c r="R10" s="38" t="str">
        <x:v>Completed.</x:v>
      </x:c>
    </x:row>
    <x:row r="11" ht="60" customHeight="1">
      <x:c r="A11" s="38" t="n">
        <x:v>7</x:v>
      </x:c>
      <x:c r="B11" s="38" t="str">
        <x:v>RES-01</x:v>
      </x:c>
      <x:c r="C11" s="38" t="str">
        <x:v>Create Reservation Form</x:v>
      </x:c>
      <x:c r="D11" s="38" t="str">
        <x:v>Reservation Management</x:v>
      </x:c>
      <x:c r="E11" s="38" t="str">
        <x:v>Customer Screen</x:v>
      </x:c>
      <x:c r="F11" s="38" t="str">
        <x:v>Customer</x:v>
      </x:c>
      <x:c r="G11" s="38" t="str">
        <x:v>Collects reservation date, time, party size, selected table, and optional notes with clear validation.</x:v>
      </x:c>
      <x:c r="H11" s="38" t="str">
        <x:v>Nguyễn Đức Thương (DE190096)</x:v>
      </x:c>
      <x:c r="I11" s="38" t="str">
        <x:v>High</x:v>
      </x:c>
      <x:c r="J11" s="38" t="str">
        <x:v>Medium</x:v>
      </x:c>
      <x:c r="K11" s="38" t="n">
        <x:v>120</x:v>
      </x:c>
      <x:c r="L11" s="38" t="str">
        <x:v>Week 1</x:v>
      </x:c>
      <x:c r="M11" s="38" t="str">
        <x:v>Done</x:v>
      </x:c>
      <x:c r="N11" s="38" t="str">
        <x:v>II.5.1</x:v>
      </x:c>
      <x:c r="O11" s="38" t="str">
        <x:v>II.5.1</x:v>
      </x:c>
      <x:c r="P11" s="38" t="str">
        <x:v>Valid form submits once; invalid date/time/party/table shows clear messages; success displays reservation details.</x:v>
      </x:c>
      <x:c r="Q11" s="38" t="str">
        <x:v>EV-RES-01 / TC-RES-01</x:v>
      </x:c>
      <x:c r="R11" s="38" t="str">
        <x:v>Completed.</x:v>
      </x:c>
    </x:row>
    <x:row r="12" ht="60" customHeight="1">
      <x:c r="A12" s="38" t="n">
        <x:v>8</x:v>
      </x:c>
      <x:c r="B12" s="38" t="str">
        <x:v>RES-02</x:v>
      </x:c>
      <x:c r="C12" s="38" t="str">
        <x:v>Search Available Tables</x:v>
      </x:c>
      <x:c r="D12" s="38" t="str">
        <x:v>Reservation Management</x:v>
      </x:c>
      <x:c r="E12" s="38" t="str">
        <x:v>Backend API</x:v>
      </x:c>
      <x:c r="F12" s="38" t="str">
        <x:v>Customer, Staff</x:v>
      </x:c>
      <x:c r="G12" s="38" t="str">
        <x:v>Returns tables available for a requested time range and party size.</x:v>
      </x:c>
      <x:c r="H12" s="38" t="str">
        <x:v>Phạm Văn Quyết (DE190425)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Updated</x:v>
      </x:c>
      <x:c r="N12" s="38" t="str">
        <x:v>II.5.2</x:v>
      </x:c>
      <x:c r="O12" s="38" t="str">
        <x:v>II.5.2</x:v>
      </x:c>
      <x:c r="P12" s="38" t="str">
        <x:v>Results match direct database checks; unavailable tables are never returned; boundary times are tested.</x:v>
      </x:c>
      <x:c r="Q12" s="38" t="str">
        <x:v>EV-RES-02 / TC-RES-02</x:v>
      </x:c>
      <x:c r="R12" s="38" t="str">
        <x:v>Query and conflict rules were strengthened.</x:v>
      </x:c>
    </x:row>
    <x:row r="13" ht="60" customHeight="1">
      <x:c r="A13" s="38" t="n">
        <x:v>9</x:v>
      </x:c>
      <x:c r="B13" s="38" t="str">
        <x:v>RES-03</x:v>
      </x:c>
      <x:c r="C13" s="38" t="str">
        <x:v>Reservation Capacity Matching</x:v>
      </x:c>
      <x:c r="D13" s="38" t="str">
        <x:v>Reservation Management</x:v>
      </x:c>
      <x:c r="E13" s="38" t="str">
        <x:v>Business Service</x:v>
      </x:c>
      <x:c r="F13" s="38" t="str">
        <x:v>Customer, Staff</x:v>
      </x:c>
      <x:c r="G13" s="38" t="str">
        <x:v>Matches party size with eligible table capacity and validates a manually selected table before saving.</x:v>
      </x:c>
      <x:c r="H13" s="38" t="str">
        <x:v>Phạm Văn Quyết (DE190425)</x:v>
      </x:c>
      <x:c r="I13" s="38" t="str">
        <x:v>High</x:v>
      </x:c>
      <x:c r="J13" s="38" t="str">
        <x:v>Medium</x:v>
      </x:c>
      <x:c r="K13" s="38" t="n">
        <x:v>120</x:v>
      </x:c>
      <x:c r="L13" s="38" t="str">
        <x:v>Week 1</x:v>
      </x:c>
      <x:c r="M13" s="38" t="str">
        <x:v>Done</x:v>
      </x:c>
      <x:c r="N13" s="38" t="str">
        <x:v>II.5.3</x:v>
      </x:c>
      <x:c r="O13" s="38" t="str">
        <x:v>II.5.3</x:v>
      </x:c>
      <x:c r="P13" s="38" t="str">
        <x:v>Oversized reservations are rejected server-side; valid matching returns appropriate tables.</x:v>
      </x:c>
      <x:c r="Q13" s="38" t="str">
        <x:v>EV-RES-03 / TC-RES-03</x:v>
      </x:c>
      <x:c r="R13" s="38" t="str">
        <x:v>Completed.</x:v>
      </x:c>
    </x:row>
    <x:row r="14" ht="60" customHeight="1">
      <x:c r="A14" s="38" t="n">
        <x:v>10</x:v>
      </x:c>
      <x:c r="B14" s="38" t="str">
        <x:v>RES-04</x:v>
      </x:c>
      <x:c r="C14" s="38" t="str">
        <x:v>Reservation Overlap &amp; Concurrency Prevention</x:v>
      </x:c>
      <x:c r="D14" s="38" t="str">
        <x:v>Reservation Management</x:v>
      </x:c>
      <x:c r="E14" s="38" t="str">
        <x:v>Business Service / DB Lock</x:v>
      </x:c>
      <x:c r="F14" s="38" t="str">
        <x:v>Customer, Staff</x:v>
      </x:c>
      <x:c r="G14" s="38" t="str">
        <x:v>Prevents two active reservations from occupying the same table during overlapping time ranges, including concurrent submissions.</x:v>
      </x:c>
      <x:c r="H14" s="38" t="str">
        <x:v>Phạm Văn Quyết (DE190425)</x:v>
      </x:c>
      <x:c r="I14" s="38" t="str">
        <x:v>Critical</x:v>
      </x:c>
      <x:c r="J14" s="38" t="str">
        <x:v>Complex</x:v>
      </x:c>
      <x:c r="K14" s="38" t="n">
        <x:v>240</x:v>
      </x:c>
      <x:c r="L14" s="38" t="str">
        <x:v>Week 1</x:v>
      </x:c>
      <x:c r="M14" s="38" t="str">
        <x:v>Updated</x:v>
      </x:c>
      <x:c r="N14" s="38" t="str">
        <x:v>II.5.4</x:v>
      </x:c>
      <x:c r="O14" s="38" t="str">
        <x:v>II.5.4</x:v>
      </x:c>
      <x:c r="P14" s="38" t="str">
        <x:v>Sequential and concurrent overlap tests allow only one conflicting reservation; non-overlapping reservations succeed.</x:v>
      </x:c>
      <x:c r="Q14" s="38" t="str">
        <x:v>EV-RES-04 / TC-RES-04</x:v>
      </x:c>
      <x:c r="R14" s="38" t="str">
        <x:v>Pessimistic locking and concurrency tests must be retained in release evidence.</x:v>
      </x:c>
    </x:row>
    <x:row r="15" ht="60" customHeight="1">
      <x:c r="A15" s="38" t="n">
        <x:v>11</x:v>
      </x:c>
      <x:c r="B15" s="38" t="str">
        <x:v>RES-05</x:v>
      </x:c>
      <x:c r="C15" s="38" t="str">
        <x:v>Reservation Persistence Transaction</x:v>
      </x:c>
      <x:c r="D15" s="38" t="str">
        <x:v>Reservation Management</x:v>
      </x:c>
      <x:c r="E15" s="38" t="str">
        <x:v>Backend Service / DB</x:v>
      </x:c>
      <x:c r="F15" s="38" t="str">
        <x:v>Customer, Staff</x:v>
      </x:c>
      <x:c r="G15" s="38" t="str">
        <x:v>Creates the reservation atomically after revalidating user, table, time, capacity, and overlap rules.</x:v>
      </x:c>
      <x:c r="H15" s="38" t="str">
        <x:v>Phạm Văn Quyết (DE190425)</x:v>
      </x:c>
      <x:c r="I15" s="38" t="str">
        <x:v>High</x:v>
      </x:c>
      <x:c r="J15" s="38" t="str">
        <x:v>Complex</x:v>
      </x:c>
      <x:c r="K15" s="38" t="n">
        <x:v>240</x:v>
      </x:c>
      <x:c r="L15" s="38" t="str">
        <x:v>Week 1</x:v>
      </x:c>
      <x:c r="M15" s="38" t="str">
        <x:v>Done</x:v>
      </x:c>
      <x:c r="N15" s="38" t="str">
        <x:v>II.5.5</x:v>
      </x:c>
      <x:c r="O15" s="38" t="str">
        <x:v>II.5.5</x:v>
      </x:c>
      <x:c r="P15" s="38" t="str">
        <x:v>Successful reservation has complete data; failures create no partial record; ownership is correct.</x:v>
      </x:c>
      <x:c r="Q15" s="38" t="str">
        <x:v>EV-RES-05 / TC-RES-05</x:v>
      </x:c>
      <x:c r="R15" s="38" t="str">
        <x:v>Completed.</x:v>
      </x:c>
    </x:row>
    <x:row r="16" ht="60" customHeight="1">
      <x:c r="A16" s="38" t="n">
        <x:v>12</x:v>
      </x:c>
      <x:c r="B16" s="38" t="str">
        <x:v>RES-06</x:v>
      </x:c>
      <x:c r="C16" s="38" t="str">
        <x:v>View My Reservations</x:v>
      </x:c>
      <x:c r="D16" s="38" t="str">
        <x:v>Reservation Management</x:v>
      </x:c>
      <x:c r="E16" s="38" t="str">
        <x:v>Customer Screen / API</x:v>
      </x:c>
      <x:c r="F16" s="38" t="str">
        <x:v>Customer</x:v>
      </x:c>
      <x:c r="G16" s="38" t="str">
        <x:v>Lists the current customer's upcoming and historical reservations with status and summary information.</x:v>
      </x:c>
      <x:c r="H16" s="38" t="str">
        <x:v>Nguyễn Đức Thương (DE190096)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Done</x:v>
      </x:c>
      <x:c r="N16" s="38" t="str">
        <x:v>II.5.6</x:v>
      </x:c>
      <x:c r="O16" s="38" t="str">
        <x:v>II.5.6</x:v>
      </x:c>
      <x:c r="P16" s="38" t="str">
        <x:v>Customer sees only own records; upcoming/history filters work; unauthorized ID guessing is blocked.</x:v>
      </x:c>
      <x:c r="Q16" s="38" t="str">
        <x:v>EV-RES-06 / TC-RES-06</x:v>
      </x:c>
      <x:c r="R16" s="38" t="str">
        <x:v>Completed.</x:v>
      </x:c>
    </x:row>
    <x:row r="17" ht="60" customHeight="1">
      <x:c r="A17" s="38" t="n">
        <x:v>13</x:v>
      </x:c>
      <x:c r="B17" s="38" t="str">
        <x:v>RES-07</x:v>
      </x:c>
      <x:c r="C17" s="38" t="str">
        <x:v>Reservation Detail</x:v>
      </x:c>
      <x:c r="D17" s="38" t="str">
        <x:v>Reservation Management</x:v>
      </x:c>
      <x:c r="E17" s="38" t="str">
        <x:v>Customer Screen / API</x:v>
      </x:c>
      <x:c r="F17" s="38" t="str">
        <x:v>Customer</x:v>
      </x:c>
      <x:c r="G17" s="38" t="str">
        <x:v>Shows one owned reservation with table, time, party, status, notes, and allowed actions.</x:v>
      </x:c>
      <x:c r="H17" s="38" t="str">
        <x:v>Nguyễn Đức Thương (DE190096)</x:v>
      </x:c>
      <x:c r="I17" s="38" t="str">
        <x:v>Medium</x:v>
      </x:c>
      <x:c r="J17" s="38" t="str">
        <x:v>Complex</x:v>
      </x:c>
      <x:c r="K17" s="38" t="n">
        <x:v>240</x:v>
      </x:c>
      <x:c r="L17" s="38" t="str">
        <x:v>Week 2</x:v>
      </x:c>
      <x:c r="M17" s="38" t="str">
        <x:v>Done</x:v>
      </x:c>
      <x:c r="N17" s="38" t="str">
        <x:v>II.5.7</x:v>
      </x:c>
      <x:c r="O17" s="38" t="str">
        <x:v>II.5.7</x:v>
      </x:c>
      <x:c r="P17" s="38" t="str">
        <x:v>Owned detail loads; other users receive 403/404; edit/cancel buttons appear only when allowed.</x:v>
      </x:c>
      <x:c r="Q17" s="38" t="str">
        <x:v>EV-RES-07 / TC-RES-07</x:v>
      </x:c>
      <x:c r="R17" s="38" t="str">
        <x:v>Completed.</x:v>
      </x:c>
    </x:row>
    <x:row r="18" ht="60" customHeight="1">
      <x:c r="A18" s="38" t="n">
        <x:v>14</x:v>
      </x:c>
      <x:c r="B18" s="38" t="str">
        <x:v>RES-08</x:v>
      </x:c>
      <x:c r="C18" s="38" t="str">
        <x:v>Update Future Reservation</x:v>
      </x:c>
      <x:c r="D18" s="38" t="str">
        <x:v>Reservation Management</x:v>
      </x:c>
      <x:c r="E18" s="38" t="str">
        <x:v>Customer API</x:v>
      </x:c>
      <x:c r="F18" s="38" t="str">
        <x:v>Customer</x:v>
      </x:c>
      <x:c r="G18" s="38" t="str">
        <x:v>Updates an eligible future reservation after rechecking capacity, table availability, time, and overlap.</x:v>
      </x:c>
      <x:c r="H18" s="38" t="str">
        <x:v>Trần Thanh Gia Huy (DE180571)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Done</x:v>
      </x:c>
      <x:c r="N18" s="38" t="str">
        <x:v>II.5.8</x:v>
      </x:c>
      <x:c r="O18" s="38" t="str">
        <x:v>II.5.8</x:v>
      </x:c>
      <x:c r="P18" s="38" t="str">
        <x:v>Allowed changes persist and revalidate conflicts; forbidden statuses/times are rejected; original data remains on failure.</x:v>
      </x:c>
      <x:c r="Q18" s="38" t="str">
        <x:v>EV-RES-08 / TC-RES-08</x:v>
      </x:c>
      <x:c r="R18" s="38" t="str">
        <x:v>Completed.</x:v>
      </x:c>
    </x:row>
    <x:row r="19" ht="60" customHeight="1">
      <x:c r="A19" s="38" t="n">
        <x:v>15</x:v>
      </x:c>
      <x:c r="B19" s="38" t="str">
        <x:v>RES-09</x:v>
      </x:c>
      <x:c r="C19" s="38" t="str">
        <x:v>Cancel Reservation Rule</x:v>
      </x:c>
      <x:c r="D19" s="38" t="str">
        <x:v>Reservation Management</x:v>
      </x:c>
      <x:c r="E19" s="38" t="str">
        <x:v>Customer / Staff API</x:v>
      </x:c>
      <x:c r="F19" s="38" t="str">
        <x:v>Customer, Staff</x:v>
      </x:c>
      <x:c r="G19" s="38" t="str">
        <x:v>Cancels an eligible reservation while preserving the record and releasing table availability.</x:v>
      </x:c>
      <x:c r="H19" s="38" t="str">
        <x:v>Trần Thanh Gia Huy (DE180571)</x:v>
      </x:c>
      <x:c r="I19" s="38" t="str">
        <x:v>High</x:v>
      </x:c>
      <x:c r="J19" s="38" t="str">
        <x:v>Medium</x:v>
      </x:c>
      <x:c r="K19" s="38" t="n">
        <x:v>120</x:v>
      </x:c>
      <x:c r="L19" s="38" t="str">
        <x:v>Week 2</x:v>
      </x:c>
      <x:c r="M19" s="38" t="str">
        <x:v>Done</x:v>
      </x:c>
      <x:c r="N19" s="38" t="str">
        <x:v>II.5.9</x:v>
      </x:c>
      <x:c r="O19" s="38" t="str">
        <x:v>II.5.9</x:v>
      </x:c>
      <x:c r="P19" s="38" t="str">
        <x:v>Eligible cancellation updates status; repeated cancellation is idempotent; table becomes available when appropriate.</x:v>
      </x:c>
      <x:c r="Q19" s="38" t="str">
        <x:v>EV-RES-09 / TC-RES-09</x:v>
      </x:c>
      <x:c r="R19" s="38" t="str">
        <x:v>Completed.</x:v>
      </x:c>
    </x:row>
    <x:row r="20" ht="60" customHeight="1">
      <x:c r="A20" s="38" t="n">
        <x:v>16</x:v>
      </x:c>
      <x:c r="B20" s="38" t="str">
        <x:v>RES-10</x:v>
      </x:c>
      <x:c r="C20" s="38" t="str">
        <x:v>Admin / Staff Reservation List</x:v>
      </x:c>
      <x:c r="D20" s="38" t="str">
        <x:v>Reservation Management</x:v>
      </x:c>
      <x:c r="E20" s="38" t="str">
        <x:v>Admin/Staff Screen / API</x:v>
      </x:c>
      <x:c r="F20" s="38" t="str">
        <x:v>Admin, Staff</x:v>
      </x:c>
      <x:c r="G20" s="38" t="str">
        <x:v>Provides paginated search and filters by customer, table, date range, and reservation status.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Updated</x:v>
      </x:c>
      <x:c r="N20" s="38" t="str">
        <x:v>II.5.10</x:v>
      </x:c>
      <x:c r="O20" s="38" t="str">
        <x:v>II.5.10</x:v>
      </x:c>
      <x:c r="P20" s="38" t="str">
        <x:v>Authorized users can find reservations accurately; non-authorized access is rejected; export scope is controlled if used.</x:v>
      </x:c>
      <x:c r="Q20" s="38" t="str">
        <x:v>EV-RES-10 / TC-RES-10</x:v>
      </x:c>
      <x:c r="R20" s="38" t="str">
        <x:v>Operational filters and workflow actions were added.</x:v>
      </x:c>
    </x:row>
    <x:row r="21" ht="60" customHeight="1">
      <x:c r="A21" s="38" t="n">
        <x:v>17</x:v>
      </x:c>
      <x:c r="B21" s="38" t="str">
        <x:v>RES-11</x:v>
      </x:c>
      <x:c r="C21" s="38" t="str">
        <x:v>Confirm / Seat / Complete Reservation</x:v>
      </x:c>
      <x:c r="D21" s="38" t="str">
        <x:v>Reservation Management</x:v>
      </x:c>
      <x:c r="E21" s="38" t="str">
        <x:v>Staff API</x:v>
      </x:c>
      <x:c r="F21" s="38" t="str">
        <x:v>Staff, Admin</x:v>
      </x:c>
      <x:c r="G21" s="38" t="str">
        <x:v>Moves reservations through operational states and synchronizes the table state where required.</x:v>
      </x:c>
      <x:c r="H21" s="38" t="str">
        <x:v>Trần Thanh Gia Huy (DE180571)</x:v>
      </x:c>
      <x:c r="I21" s="38" t="str">
        <x:v>High</x:v>
      </x:c>
      <x:c r="J21" s="38" t="str">
        <x:v>Complex</x:v>
      </x:c>
      <x:c r="K21" s="38" t="n">
        <x:v>240</x:v>
      </x:c>
      <x:c r="L21" s="38" t="str">
        <x:v>Week 2</x:v>
      </x:c>
      <x:c r="M21" s="38" t="str">
        <x:v>Updated</x:v>
      </x:c>
      <x:c r="N21" s="38" t="str">
        <x:v>II.5.11</x:v>
      </x:c>
      <x:c r="O21" s="38" t="str">
        <x:v>II.5.11</x:v>
      </x:c>
      <x:c r="P21" s="38" t="str">
        <x:v>Valid transition sequence succeeds; skipped/reversed transitions fail; table status remains consistent.</x:v>
      </x:c>
      <x:c r="Q21" s="38" t="str">
        <x:v>EV-RES-11 / TC-RES-11</x:v>
      </x:c>
      <x:c r="R21" s="38" t="str">
        <x:v>Status workflow was integrated with table operations.</x:v>
      </x:c>
    </x:row>
    <x:row r="22" ht="60" customHeight="1">
      <x:c r="A22" s="38" t="n">
        <x:v>18</x:v>
      </x:c>
      <x:c r="B22" s="38" t="str">
        <x:v>RES-12</x:v>
      </x:c>
      <x:c r="C22" s="38" t="str">
        <x:v>No-show / Expired Reservation Handling</x:v>
      </x:c>
      <x:c r="D22" s="38" t="str">
        <x:v>Reservation Management</x:v>
      </x:c>
      <x:c r="E22" s="38" t="str">
        <x:v>Staff Function</x:v>
      </x:c>
      <x:c r="F22" s="38" t="str">
        <x:v>Staff, Admin</x:v>
      </x:c>
      <x:c r="G22" s="38" t="str">
        <x:v>Marks eligible past reservations as no-show or expired according to operational policy.</x:v>
      </x:c>
      <x:c r="H22" s="38" t="str">
        <x:v>Trần Thanh Gia Huy (DE180571)</x:v>
      </x:c>
      <x:c r="I22" s="38" t="str">
        <x:v>Medium</x:v>
      </x:c>
      <x:c r="J22" s="38" t="str">
        <x:v>Medium</x:v>
      </x:c>
      <x:c r="K22" s="38" t="n">
        <x:v>120</x:v>
      </x:c>
      <x:c r="L22" s="38" t="str">
        <x:v>Week 2</x:v>
      </x:c>
      <x:c r="M22" s="38" t="str">
        <x:v>Updated</x:v>
      </x:c>
      <x:c r="N22" s="38" t="str">
        <x:v>II.5.12</x:v>
      </x:c>
      <x:c r="O22" s="38" t="str">
        <x:v>II.5.12</x:v>
      </x:c>
      <x:c r="P22" s="38" t="str">
        <x:v>Eligible records can be marked; future/already-final records are rejected; table availability is restored.</x:v>
      </x:c>
      <x:c r="Q22" s="38" t="str">
        <x:v>EV-RES-12 / TC-RES-12</x:v>
      </x:c>
      <x:c r="R22" s="38" t="str">
        <x:v>Final automation/manual policy should be confirmed in SRS.</x:v>
      </x:c>
    </x:row>
    <x:row r="23" ht="60" customHeight="1">
      <x:c r="A23" s="38" t="n">
        <x:v>19</x:v>
      </x:c>
      <x:c r="B23" s="38" t="str">
        <x:v>SYS-01</x:v>
      </x:c>
      <x:c r="C23" s="38" t="str">
        <x:v>Standard API Response &amp; Validation Errors</x:v>
      </x:c>
      <x:c r="D23" s="38" t="str">
        <x:v>System Foundation</x:v>
      </x:c>
      <x:c r="E23" s="38" t="str">
        <x:v>Cross-cutting Backend</x:v>
      </x:c>
      <x:c r="F23" s="38" t="str">
        <x:v>All Actors</x:v>
      </x:c>
      <x:c r="G23" s="38" t="str">
        <x:v>Uses a common response/error structure for validation, business, authentication, authorization, and unexpected failures.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1</x:v>
      </x:c>
      <x:c r="M23" s="38" t="str">
        <x:v>Updated</x:v>
      </x:c>
      <x:c r="N23" s="38" t="str">
        <x:v>II.6.1</x:v>
      </x:c>
      <x:c r="O23" s="38" t="str">
        <x:v>II.6.1</x:v>
      </x:c>
      <x:c r="P23" s="38" t="str">
        <x:v>Representative APIs return the same format for success and each error class; frontend handles them without special-case crashes.</x:v>
      </x:c>
      <x:c r="Q23" s="38" t="str">
        <x:v>EV-SYS-01 / TC-SYS-01</x:v>
      </x:c>
      <x:c r="R23" s="38" t="str">
        <x:v>Security 401/403 mapping still needs final alignment.</x:v>
      </x:c>
    </x:row>
    <x:row r="24" ht="60" customHeight="1">
      <x:c r="A24" s="38" t="n">
        <x:v>20</x:v>
      </x:c>
      <x:c r="B24" s="38" t="str">
        <x:v>SYS-02</x:v>
      </x:c>
      <x:c r="C24" s="38" t="str">
        <x:v>Database Migration &amp; Seed for Table / Reservation</x:v>
      </x:c>
      <x:c r="D24" s="38" t="str">
        <x:v>System Foundation</x:v>
      </x:c>
      <x:c r="E24" s="38" t="str">
        <x:v>Database Migration</x:v>
      </x:c>
      <x:c r="F24" s="38" t="str">
        <x:v>Development Team</x:v>
      </x:c>
      <x:c r="G24" s="38" t="str">
        <x:v>Provides ordered migration scripts and safe reference seed data for table and reservation modules.</x:v>
      </x:c>
      <x:c r="H24" s="38" t="str">
        <x:v>Trần Thanh Gia Huy (DE180571)</x:v>
      </x:c>
      <x:c r="I24" s="38" t="str">
        <x:v>High</x:v>
      </x:c>
      <x:c r="J24" s="38" t="str">
        <x:v>Complex</x:v>
      </x:c>
      <x:c r="K24" s="38" t="n">
        <x:v>240</x:v>
      </x:c>
      <x:c r="L24" s="38" t="str">
        <x:v>Week 1</x:v>
      </x:c>
      <x:c r="M24" s="38" t="str">
        <x:v>Done</x:v>
      </x:c>
      <x:c r="N24" s="38" t="str">
        <x:v>II.6.2</x:v>
      </x:c>
      <x:c r="O24" s="38" t="str">
        <x:v>II.6.2</x:v>
      </x:c>
      <x:c r="P24" s="38" t="str">
        <x:v>Flyway/migration history is successful; schema constraints/indexes exist; application starts with the clean database.</x:v>
      </x:c>
      <x:c r="Q24" s="38" t="str">
        <x:v>EV-SYS-02 / TC-SYS-02</x:v>
      </x:c>
      <x:c r="R24" s="38" t="str">
        <x:v>Include migration output in the release evidence.</x:v>
      </x:c>
    </x:row>
  </x:sheetData>
  <x:mergeCells>
    <x:mergeCell ref="A1:R1"/>
    <x:mergeCell ref="A2:R2"/>
    <x:mergeCell ref="A3:R3"/>
  </x:mergeCells>
  <x:conditionalFormatting sqref="M5:M24">
    <x:cfRule type="expression" dxfId="14" priority="1">
      <x:formula>M5="Done"</x:formula>
    </x:cfRule>
    <x:cfRule type="expression" dxfId="15" priority="2">
      <x:formula>M5="Updated"</x:formula>
    </x:cfRule>
    <x:cfRule type="expression" dxfId="16" priority="3">
      <x:formula>M5="Doing"</x:formula>
    </x:cfRule>
    <x:cfRule type="expression" dxfId="17" priority="4">
      <x:formula>M5="Not Started"</x:formula>
    </x:cfRule>
  </x:conditionalFormatting>
  <x:dataValidations count="5">
    <x:dataValidation type="list" sqref="H5:H24">
      <x:formula1>"Phan Nguyễn (DE191019),Phạm Văn Quyết (DE190425),Nguyễn Tiến Lộc (DE190986),Nguyễn Đức Thương (DE190096),Trần Thanh Gia Huy (DE180571)"</x:formula1>
    </x:dataValidation>
    <x:dataValidation type="list" sqref="I5:I24">
      <x:formula1>"Critical,High,Medium,Low"</x:formula1>
    </x:dataValidation>
    <x:dataValidation type="list" sqref="J5:J24">
      <x:formula1>"Simple,Medium,Complex"</x:formula1>
    </x:dataValidation>
    <x:dataValidation type="list" sqref="L5:L24">
      <x:formula1>"Week 1,Week 2"</x:formula1>
    </x:dataValidation>
    <x:dataValidation type="list" sqref="M5:M24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cbb9afbc24b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RESTAURANT MANAGEMENT SYSTEM – ITER3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23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CART-01</x:v>
      </x:c>
      <x:c r="C5" s="38" t="str">
        <x:v>Add Item to Cart</x:v>
      </x:c>
      <x:c r="D5" s="38" t="str">
        <x:v>Cart &amp; Order Management</x:v>
      </x:c>
      <x:c r="E5" s="38" t="str">
        <x:v>Customer UI</x:v>
      </x:c>
      <x:c r="F5" s="38" t="str">
        <x:v>Customer</x:v>
      </x:c>
      <x:c r="G5" s="38" t="str">
        <x:v>Adds an available menu item with selected quantity and notes to the customer's cart.</x:v>
      </x:c>
      <x:c r="H5" s="38" t="str">
        <x:v>Nguyễn Tiến Lộc (DE190986)</x:v>
      </x:c>
      <x:c r="I5" s="38" t="str">
        <x:v>High</x:v>
      </x:c>
      <x:c r="J5" s="38" t="str">
        <x:v>Medium</x:v>
      </x:c>
      <x:c r="K5" s="38" t="n">
        <x:v>120</x:v>
      </x:c>
      <x:c r="L5" s="38" t="str">
        <x:v>Week 1</x:v>
      </x:c>
      <x:c r="M5" s="38" t="str">
        <x:v>Done</x:v>
      </x:c>
      <x:c r="N5" s="38" t="str">
        <x:v>II.7.1</x:v>
      </x:c>
      <x:c r="O5" s="38" t="str">
        <x:v>II.7.1</x:v>
      </x:c>
      <x:c r="P5" s="38" t="str">
        <x:v>Valid item appears once with correct quantity; unavailable/invalid item is blocked; feedback is immediate.</x:v>
      </x:c>
      <x:c r="Q5" s="38" t="str">
        <x:v>EV-CART-01 / TC-CART-01</x:v>
      </x:c>
      <x:c r="R5" s="38" t="str">
        <x:v>Completed.</x:v>
      </x:c>
    </x:row>
    <x:row r="6" ht="60" customHeight="1">
      <x:c r="A6" s="38" t="n">
        <x:v>2</x:v>
      </x:c>
      <x:c r="B6" s="38" t="str">
        <x:v>CART-02</x:v>
      </x:c>
      <x:c r="C6" s="38" t="str">
        <x:v>Update Cart Quantity &amp; Revalidate Availability</x:v>
      </x:c>
      <x:c r="D6" s="38" t="str">
        <x:v>Cart &amp; Order Management</x:v>
      </x:c>
      <x:c r="E6" s="38" t="str">
        <x:v>Customer UI / Service</x:v>
      </x:c>
      <x:c r="F6" s="38" t="str">
        <x:v>Customer</x:v>
      </x:c>
      <x:c r="G6" s="38" t="str">
        <x:v>Changes cart item quantity and rechecks current food availability and price constraints.</x:v>
      </x:c>
      <x:c r="H6" s="38" t="str">
        <x:v>Nguyễn Tiến Lộc (DE190986)</x:v>
      </x:c>
      <x:c r="I6" s="38" t="str">
        <x:v>High</x:v>
      </x:c>
      <x:c r="J6" s="38" t="str">
        <x:v>Medium</x:v>
      </x:c>
      <x:c r="K6" s="38" t="n">
        <x:v>120</x:v>
      </x:c>
      <x:c r="L6" s="38" t="str">
        <x:v>Week 1</x:v>
      </x:c>
      <x:c r="M6" s="38" t="str">
        <x:v>Done</x:v>
      </x:c>
      <x:c r="N6" s="38" t="str">
        <x:v>II.7.2</x:v>
      </x:c>
      <x:c r="O6" s="38" t="str">
        <x:v>II.7.2</x:v>
      </x:c>
      <x:c r="P6" s="38" t="str">
        <x:v>Valid quantity updates subtotal; invalid quantity is rejected; unavailable items cannot proceed unnoticed.</x:v>
      </x:c>
      <x:c r="Q6" s="38" t="str">
        <x:v>EV-CART-02 / TC-CART-02</x:v>
      </x:c>
      <x:c r="R6" s="38" t="str">
        <x:v>Completed.</x:v>
      </x:c>
    </x:row>
    <x:row r="7" ht="60" customHeight="1">
      <x:c r="A7" s="38" t="n">
        <x:v>3</x:v>
      </x:c>
      <x:c r="B7" s="38" t="str">
        <x:v>CART-03</x:v>
      </x:c>
      <x:c r="C7" s="38" t="str">
        <x:v>Remove Item / Clear Cart</x:v>
      </x:c>
      <x:c r="D7" s="38" t="str">
        <x:v>Cart &amp; Order Management</x:v>
      </x:c>
      <x:c r="E7" s="38" t="str">
        <x:v>Customer UI</x:v>
      </x:c>
      <x:c r="F7" s="38" t="str">
        <x:v>Customer</x:v>
      </x:c>
      <x:c r="G7" s="38" t="str">
        <x:v>Removes one item or clears all cart items with confirmation where appropriate.</x:v>
      </x:c>
      <x:c r="H7" s="38" t="str">
        <x:v>Nguyễn Tiến Lộc (DE190986)</x:v>
      </x:c>
      <x:c r="I7" s="38" t="str">
        <x:v>Medium</x:v>
      </x:c>
      <x:c r="J7" s="38" t="str">
        <x:v>Simple</x:v>
      </x:c>
      <x:c r="K7" s="38" t="n">
        <x:v>60</x:v>
      </x:c>
      <x:c r="L7" s="38" t="str">
        <x:v>Week 1</x:v>
      </x:c>
      <x:c r="M7" s="38" t="str">
        <x:v>Done</x:v>
      </x:c>
      <x:c r="N7" s="38" t="str">
        <x:v>II.7.3</x:v>
      </x:c>
      <x:c r="O7" s="38" t="str">
        <x:v>II.7.3</x:v>
      </x:c>
      <x:c r="P7" s="38" t="str">
        <x:v>Selected item is removed; clear empties the cart; repeated actions do not cause errors.</x:v>
      </x:c>
      <x:c r="Q7" s="38" t="str">
        <x:v>EV-CART-03 / TC-CART-03</x:v>
      </x:c>
      <x:c r="R7" s="38" t="str">
        <x:v>Completed.</x:v>
      </x:c>
    </x:row>
    <x:row r="8" ht="60" customHeight="1">
      <x:c r="A8" s="38" t="n">
        <x:v>4</x:v>
      </x:c>
      <x:c r="B8" s="38" t="str">
        <x:v>CART-04</x:v>
      </x:c>
      <x:c r="C8" s="38" t="str">
        <x:v>Cart Subtotal Calculation</x:v>
      </x:c>
      <x:c r="D8" s="38" t="str">
        <x:v>Cart &amp; Order Management</x:v>
      </x:c>
      <x:c r="E8" s="38" t="str">
        <x:v>Business Calculation</x:v>
      </x:c>
      <x:c r="F8" s="38" t="str">
        <x:v>Customer</x:v>
      </x:c>
      <x:c r="G8" s="38" t="str">
        <x:v>Calculates subtotal from current authoritative food price and quantity before discounts and payment.</x:v>
      </x:c>
      <x:c r="H8" s="38" t="str">
        <x:v>Nguyễn Tiến Lộc (DE190986)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1</x:v>
      </x:c>
      <x:c r="M8" s="38" t="str">
        <x:v>Done</x:v>
      </x:c>
      <x:c r="N8" s="38" t="str">
        <x:v>II.7.4</x:v>
      </x:c>
      <x:c r="O8" s="38" t="str">
        <x:v>II.7.4</x:v>
      </x:c>
      <x:c r="P8" s="38" t="str">
        <x:v>Subtotal matches server calculation for multiple items/quantities; decimal rounding follows policy.</x:v>
      </x:c>
      <x:c r="Q8" s="38" t="str">
        <x:v>EV-CART-04 / TC-CART-04</x:v>
      </x:c>
      <x:c r="R8" s="38" t="str">
        <x:v>Server total must remain the source of truth.</x:v>
      </x:c>
    </x:row>
    <x:row r="9" ht="60" customHeight="1">
      <x:c r="A9" s="38" t="n">
        <x:v>5</x:v>
      </x:c>
      <x:c r="B9" s="38" t="str">
        <x:v>CART-05</x:v>
      </x:c>
      <x:c r="C9" s="38" t="str">
        <x:v>Cart Persistence Across Navigation / Session</x:v>
      </x:c>
      <x:c r="D9" s="38" t="str">
        <x:v>Cart &amp; Order Management</x:v>
      </x:c>
      <x:c r="E9" s="38" t="str">
        <x:v>Customer UI / Persistence</x:v>
      </x:c>
      <x:c r="F9" s="38" t="str">
        <x:v>Customer</x:v>
      </x:c>
      <x:c r="G9" s="38" t="str">
        <x:v>Preserves the cart across page navigation and expected session lifecycle while keeping it scoped to the current user.</x:v>
      </x:c>
      <x:c r="H9" s="38" t="str">
        <x:v>Nguyễn Đức Thương (DE190096)</x:v>
      </x:c>
      <x:c r="I9" s="38" t="str">
        <x:v>Medium</x:v>
      </x:c>
      <x:c r="J9" s="38" t="str">
        <x:v>Complex</x:v>
      </x:c>
      <x:c r="K9" s="38" t="n">
        <x:v>240</x:v>
      </x:c>
      <x:c r="L9" s="38" t="str">
        <x:v>Week 1</x:v>
      </x:c>
      <x:c r="M9" s="38" t="str">
        <x:v>Done</x:v>
      </x:c>
      <x:c r="N9" s="38" t="str">
        <x:v>II.7.5</x:v>
      </x:c>
      <x:c r="O9" s="38" t="str">
        <x:v>II.7.5</x:v>
      </x:c>
      <x:c r="P9" s="38" t="str">
        <x:v>Cart survives expected navigation/refresh; logout/user switch does not leak items; stale data is handled.</x:v>
      </x:c>
      <x:c r="Q9" s="38" t="str">
        <x:v>EV-CART-05 / TC-CART-05</x:v>
      </x:c>
      <x:c r="R9" s="38" t="str">
        <x:v>Completed.</x:v>
      </x:c>
    </x:row>
    <x:row r="10" ht="60" customHeight="1">
      <x:c r="A10" s="38" t="n">
        <x:v>6</x:v>
      </x:c>
      <x:c r="B10" s="38" t="str">
        <x:v>ORDER-01</x:v>
      </x:c>
      <x:c r="C10" s="38" t="str">
        <x:v>Checkout Form &amp; Order Notes</x:v>
      </x:c>
      <x:c r="D10" s="38" t="str">
        <x:v>Cart &amp; Order Management</x:v>
      </x:c>
      <x:c r="E10" s="38" t="str">
        <x:v>Customer UI</x:v>
      </x:c>
      <x:c r="F10" s="38" t="str">
        <x:v>Customer</x:v>
      </x:c>
      <x:c r="G10" s="38" t="str">
        <x:v>Displays order summary and captures dining/table information, contact details, and order notes before submission.</x:v>
      </x:c>
      <x:c r="H10" s="38" t="str">
        <x:v>Nguyễn Đức Thương (DE190096)</x:v>
      </x:c>
      <x:c r="I10" s="38" t="str">
        <x:v>High</x:v>
      </x:c>
      <x:c r="J10" s="38" t="str">
        <x:v>Medium</x:v>
      </x:c>
      <x:c r="K10" s="38" t="n">
        <x:v>120</x:v>
      </x:c>
      <x:c r="L10" s="38" t="str">
        <x:v>Week 1</x:v>
      </x:c>
      <x:c r="M10" s="38" t="str">
        <x:v>Done</x:v>
      </x:c>
      <x:c r="N10" s="38" t="str">
        <x:v>II.8.1</x:v>
      </x:c>
      <x:c r="O10" s="38" t="str">
        <x:v>II.8.1</x:v>
      </x:c>
      <x:c r="P10" s="38" t="str">
        <x:v>Customer can review accurate items/subtotal; invalid checkout data is blocked; submission occurs once.</x:v>
      </x:c>
      <x:c r="Q10" s="38" t="str">
        <x:v>EV-ORDER-01 / TC-ORDER-01</x:v>
      </x:c>
      <x:c r="R10" s="38" t="str">
        <x:v>Completed.</x:v>
      </x:c>
    </x:row>
    <x:row r="11" ht="60" customHeight="1">
      <x:c r="A11" s="38" t="n">
        <x:v>7</x:v>
      </x:c>
      <x:c r="B11" s="38" t="str">
        <x:v>ORDER-02</x:v>
      </x:c>
      <x:c r="C11" s="38" t="str">
        <x:v>Server-side Create Order Transaction</x:v>
      </x:c>
      <x:c r="D11" s="38" t="str">
        <x:v>Cart &amp; Order Management</x:v>
      </x:c>
      <x:c r="E11" s="38" t="str">
        <x:v>Backend Service / DB</x:v>
      </x:c>
      <x:c r="F11" s="38" t="str">
        <x:v>Customer, Staff</x:v>
      </x:c>
      <x:c r="G11" s="38" t="str">
        <x:v>Creates order header and items atomically after validating identity, food availability, table/order type, and prices.</x:v>
      </x:c>
      <x:c r="H11" s="38" t="str">
        <x:v>Nguyễn Tiến Lộc (DE190986)</x:v>
      </x:c>
      <x:c r="I11" s="38" t="str">
        <x:v>Critical</x:v>
      </x:c>
      <x:c r="J11" s="38" t="str">
        <x:v>Complex</x:v>
      </x:c>
      <x:c r="K11" s="38" t="n">
        <x:v>240</x:v>
      </x:c>
      <x:c r="L11" s="38" t="str">
        <x:v>Week 1</x:v>
      </x:c>
      <x:c r="M11" s="38" t="str">
        <x:v>Updated</x:v>
      </x:c>
      <x:c r="N11" s="38" t="str">
        <x:v>II.8.2</x:v>
      </x:c>
      <x:c r="O11" s="38" t="str">
        <x:v>II.8.2</x:v>
      </x:c>
      <x:c r="P11" s="38" t="str">
        <x:v>Successful order contains complete header/items; any invalid item causes full rollback; duplicate submission is controlled.</x:v>
      </x:c>
      <x:c r="Q11" s="38" t="str">
        <x:v>EV-ORDER-02 / TC-ORDER-02</x:v>
      </x:c>
      <x:c r="R11" s="38" t="str">
        <x:v>Coupon and payment integration are tracked as separate gaps.</x:v>
      </x:c>
    </x:row>
    <x:row r="12" ht="60" customHeight="1">
      <x:c r="A12" s="38" t="n">
        <x:v>8</x:v>
      </x:c>
      <x:c r="B12" s="38" t="str">
        <x:v>ORDER-03</x:v>
      </x:c>
      <x:c r="C12" s="38" t="str">
        <x:v>Persist Order Items &amp; Price Snapshot</x:v>
      </x:c>
      <x:c r="D12" s="38" t="str">
        <x:v>Cart &amp; Order Management</x:v>
      </x:c>
      <x:c r="E12" s="38" t="str">
        <x:v>Database / Service</x:v>
      </x:c>
      <x:c r="F12" s="38" t="str">
        <x:v>Customer, Staff</x:v>
      </x:c>
      <x:c r="G12" s="38" t="str">
        <x:v>Stores each ordered item with quantity, unit price snapshot, notes, and relationship to the order.</x:v>
      </x:c>
      <x:c r="H12" s="38" t="str">
        <x:v>Nguyễn Tiến Lộc (DE190986)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Done</x:v>
      </x:c>
      <x:c r="N12" s="38" t="str">
        <x:v>II.8.3</x:v>
      </x:c>
      <x:c r="O12" s="38" t="str">
        <x:v>II.8.3</x:v>
      </x:c>
      <x:c r="P12" s="38" t="str">
        <x:v>Order details reproduce the original order after menu updates; database relationships and totals reconcile.</x:v>
      </x:c>
      <x:c r="Q12" s="38" t="str">
        <x:v>EV-ORDER-03 / TC-ORDER-03</x:v>
      </x:c>
      <x:c r="R12" s="38" t="str">
        <x:v>Completed.</x:v>
      </x:c>
    </x:row>
    <x:row r="13" ht="60" customHeight="1">
      <x:c r="A13" s="38" t="n">
        <x:v>9</x:v>
      </x:c>
      <x:c r="B13" s="38" t="str">
        <x:v>ORDER-04</x:v>
      </x:c>
      <x:c r="C13" s="38" t="str">
        <x:v>Recalculate Final Total &amp; Reject Client Manipulation</x:v>
      </x:c>
      <x:c r="D13" s="38" t="str">
        <x:v>Cart &amp; Order Management</x:v>
      </x:c>
      <x:c r="E13" s="38" t="str">
        <x:v>Business Service</x:v>
      </x:c>
      <x:c r="F13" s="38" t="str">
        <x:v>Customer, Staff</x:v>
      </x:c>
      <x:c r="G13" s="38" t="str">
        <x:v>Recalculates subtotal, discount, and final amount from database values rather than accepting client totals.</x:v>
      </x:c>
      <x:c r="H13" s="38" t="str">
        <x:v>Nguyễn Tiến Lộc (DE190986)</x:v>
      </x:c>
      <x:c r="I13" s="38" t="str">
        <x:v>Critical</x:v>
      </x:c>
      <x:c r="J13" s="38" t="str">
        <x:v>Complex</x:v>
      </x:c>
      <x:c r="K13" s="38" t="n">
        <x:v>240</x:v>
      </x:c>
      <x:c r="L13" s="38" t="str">
        <x:v>Week 2</x:v>
      </x:c>
      <x:c r="M13" s="38" t="str">
        <x:v>Doing</x:v>
      </x:c>
      <x:c r="N13" s="38" t="str">
        <x:v>II.8.4</x:v>
      </x:c>
      <x:c r="O13" s="38" t="str">
        <x:v>II.8.4</x:v>
      </x:c>
      <x:c r="P13" s="38" t="str">
        <x:v>Manipulated client total is ignored; persisted total matches server calculation; tests cover rounding and invalid discounts.</x:v>
      </x:c>
      <x:c r="Q13" s="38" t="str">
        <x:v>EV-ORDER-04 / TC-ORDER-04</x:v>
      </x:c>
      <x:c r="R13" s="38" t="str">
        <x:v>Blocked by complete server-side coupon implementation.</x:v>
      </x:c>
    </x:row>
    <x:row r="14" ht="60" customHeight="1">
      <x:c r="A14" s="38" t="n">
        <x:v>10</x:v>
      </x:c>
      <x:c r="B14" s="38" t="str">
        <x:v>ORDER-05</x:v>
      </x:c>
      <x:c r="C14" s="38" t="str">
        <x:v>View Own Order History</x:v>
      </x:c>
      <x:c r="D14" s="38" t="str">
        <x:v>Cart &amp; Order Management</x:v>
      </x:c>
      <x:c r="E14" s="38" t="str">
        <x:v>Customer Screen / API</x:v>
      </x:c>
      <x:c r="F14" s="38" t="str">
        <x:v>Customer</x:v>
      </x:c>
      <x:c r="G14" s="38" t="str">
        <x:v>Lists current and previous orders for the authenticated customer with status, time, and amount summary.</x:v>
      </x:c>
      <x:c r="H14" s="38" t="str">
        <x:v>Nguyễn Tiến Lộc (DE190986)</x:v>
      </x:c>
      <x:c r="I14" s="38" t="str">
        <x:v>High</x:v>
      </x:c>
      <x:c r="J14" s="38" t="str">
        <x:v>Complex</x:v>
      </x:c>
      <x:c r="K14" s="38" t="n">
        <x:v>240</x:v>
      </x:c>
      <x:c r="L14" s="38" t="str">
        <x:v>Week 2</x:v>
      </x:c>
      <x:c r="M14" s="38" t="str">
        <x:v>Done</x:v>
      </x:c>
      <x:c r="N14" s="38" t="str">
        <x:v>II.8.5</x:v>
      </x:c>
      <x:c r="O14" s="38" t="str">
        <x:v>II.8.5</x:v>
      </x:c>
      <x:c r="P14" s="38" t="str">
        <x:v>Customer sees only own orders; status and totals match database; filters/no-data work.</x:v>
      </x:c>
      <x:c r="Q14" s="38" t="str">
        <x:v>EV-ORDER-05 / TC-ORDER-05</x:v>
      </x:c>
      <x:c r="R14" s="38" t="str">
        <x:v>Completed.</x:v>
      </x:c>
    </x:row>
    <x:row r="15" ht="60" customHeight="1">
      <x:c r="A15" s="38" t="n">
        <x:v>11</x:v>
      </x:c>
      <x:c r="B15" s="38" t="str">
        <x:v>ORDER-06</x:v>
      </x:c>
      <x:c r="C15" s="38" t="str">
        <x:v>View Own Order Detail</x:v>
      </x:c>
      <x:c r="D15" s="38" t="str">
        <x:v>Cart &amp; Order Management</x:v>
      </x:c>
      <x:c r="E15" s="38" t="str">
        <x:v>Customer Screen / API</x:v>
      </x:c>
      <x:c r="F15" s="38" t="str">
        <x:v>Customer</x:v>
      </x:c>
      <x:c r="G15" s="38" t="str">
        <x:v>Displays order items, price breakdown, status history, payment/invoice availability, and notes.</x:v>
      </x:c>
      <x:c r="H15" s="38" t="str">
        <x:v>Nguyễn Đức Thương (DE190096)</x:v>
      </x:c>
      <x:c r="I15" s="38" t="str">
        <x:v>High</x:v>
      </x:c>
      <x:c r="J15" s="38" t="str">
        <x:v>Medium</x:v>
      </x:c>
      <x:c r="K15" s="38" t="n">
        <x:v>120</x:v>
      </x:c>
      <x:c r="L15" s="38" t="str">
        <x:v>Week 2</x:v>
      </x:c>
      <x:c r="M15" s="38" t="str">
        <x:v>Done</x:v>
      </x:c>
      <x:c r="N15" s="38" t="str">
        <x:v>II.8.6</x:v>
      </x:c>
      <x:c r="O15" s="38" t="str">
        <x:v>II.8.6</x:v>
      </x:c>
      <x:c r="P15" s="38" t="str">
        <x:v>Owned order detail loads accurately; other customers cannot access it; invoice link appears only when issued.</x:v>
      </x:c>
      <x:c r="Q15" s="38" t="str">
        <x:v>EV-ORDER-06 / TC-ORDER-06</x:v>
      </x:c>
      <x:c r="R15" s="38" t="str">
        <x:v>Payment/invoice section remains conditional.</x:v>
      </x:c>
    </x:row>
    <x:row r="16" ht="60" customHeight="1">
      <x:c r="A16" s="38" t="n">
        <x:v>12</x:v>
      </x:c>
      <x:c r="B16" s="38" t="str">
        <x:v>ORDER-07</x:v>
      </x:c>
      <x:c r="C16" s="38" t="str">
        <x:v>Order Ownership Authorization</x:v>
      </x:c>
      <x:c r="D16" s="38" t="str">
        <x:v>Cart &amp; Order Management</x:v>
      </x:c>
      <x:c r="E16" s="38" t="str">
        <x:v>Authorization Policy</x:v>
      </x:c>
      <x:c r="F16" s="38" t="str">
        <x:v>Customer</x:v>
      </x:c>
      <x:c r="G16" s="38" t="str">
        <x:v>Protects order history, detail, cancellation, payment, invoice, and feedback operations by authenticated ownership.</x:v>
      </x:c>
      <x:c r="H16" s="38" t="str">
        <x:v>Phạm Văn Quyết (DE190425)</x:v>
      </x:c>
      <x:c r="I16" s="38" t="str">
        <x:v>Critical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Done</x:v>
      </x:c>
      <x:c r="N16" s="38" t="str">
        <x:v>II.8.7</x:v>
      </x:c>
      <x:c r="O16" s="38" t="str">
        <x:v>II.8.7</x:v>
      </x:c>
      <x:c r="P16" s="38" t="str">
        <x:v>ID-guessing tests return 403/404; authorized owner and allowed staff roles succeed.</x:v>
      </x:c>
      <x:c r="Q16" s="38" t="str">
        <x:v>EV-ORDER-07 / TC-ORDER-07</x:v>
      </x:c>
      <x:c r="R16" s="38" t="str">
        <x:v>Must be reverified after final JWT authorization changes.</x:v>
      </x:c>
    </x:row>
    <x:row r="17" ht="60" customHeight="1">
      <x:c r="A17" s="38" t="n">
        <x:v>13</x:v>
      </x:c>
      <x:c r="B17" s="38" t="str">
        <x:v>ORDER-08</x:v>
      </x:c>
      <x:c r="C17" s="38" t="str">
        <x:v>Staff Counter Order Creation</x:v>
      </x:c>
      <x:c r="D17" s="38" t="str">
        <x:v>Staff Operations</x:v>
      </x:c>
      <x:c r="E17" s="38" t="str">
        <x:v>Staff Screen / API</x:v>
      </x:c>
      <x:c r="F17" s="38" t="str">
        <x:v>Staff</x:v>
      </x:c>
      <x:c r="G17" s="38" t="str">
        <x:v>Allows staff to create an order for walk-in or seated customers using live menu and optional table selection.</x:v>
      </x:c>
      <x:c r="H17" s="38" t="str">
        <x:v>Nguyễn Tiến Lộc (DE190986)</x:v>
      </x:c>
      <x:c r="I17" s="38" t="str">
        <x:v>High</x:v>
      </x:c>
      <x:c r="J17" s="38" t="str">
        <x:v>Complex</x:v>
      </x:c>
      <x:c r="K17" s="38" t="n">
        <x:v>240</x:v>
      </x:c>
      <x:c r="L17" s="38" t="str">
        <x:v>Week 1</x:v>
      </x:c>
      <x:c r="M17" s="38" t="str">
        <x:v>Done</x:v>
      </x:c>
      <x:c r="N17" s="38" t="str">
        <x:v>II.8.8</x:v>
      </x:c>
      <x:c r="O17" s="38" t="str">
        <x:v>II.8.8</x:v>
      </x:c>
      <x:c r="P17" s="38" t="str">
        <x:v>Staff can create a valid order; order appears in staff/kitchen flows; invalid table/item input rolls back.</x:v>
      </x:c>
      <x:c r="Q17" s="38" t="str">
        <x:v>EV-ORDER-08 / TC-ORDER-08</x:v>
      </x:c>
      <x:c r="R17" s="38" t="str">
        <x:v>Completed.</x:v>
      </x:c>
    </x:row>
    <x:row r="18" ht="60" customHeight="1">
      <x:c r="A18" s="38" t="n">
        <x:v>14</x:v>
      </x:c>
      <x:c r="B18" s="38" t="str">
        <x:v>ORDER-09</x:v>
      </x:c>
      <x:c r="C18" s="38" t="str">
        <x:v>Admin / Staff Order List &amp; Filters</x:v>
      </x:c>
      <x:c r="D18" s="38" t="str">
        <x:v>Staff Operations</x:v>
      </x:c>
      <x:c r="E18" s="38" t="str">
        <x:v>Admin/Staff Screen / API</x:v>
      </x:c>
      <x:c r="F18" s="38" t="str">
        <x:v>Admin, Staff</x:v>
      </x:c>
      <x:c r="G18" s="38" t="str">
        <x:v>Provides order search and filters by date, status, customer, table, staff, and payment state.</x:v>
      </x:c>
      <x:c r="H18" s="38" t="str">
        <x:v>Phan Nguyễn (DE191019)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Updated</x:v>
      </x:c>
      <x:c r="N18" s="38" t="str">
        <x:v>II.8.9</x:v>
      </x:c>
      <x:c r="O18" s="38" t="str">
        <x:v>II.8.9</x:v>
      </x:c>
      <x:c r="P18" s="38" t="str">
        <x:v>Filters return correct orders; list updates after status/payment changes; non-authorized access is blocked.</x:v>
      </x:c>
      <x:c r="Q18" s="38" t="str">
        <x:v>EV-ORDER-09 / TC-ORDER-09</x:v>
      </x:c>
      <x:c r="R18" s="38" t="str">
        <x:v>Payment filter must be finalized after payment persistence.</x:v>
      </x:c>
    </x:row>
    <x:row r="19" ht="60" customHeight="1">
      <x:c r="A19" s="38" t="n">
        <x:v>15</x:v>
      </x:c>
      <x:c r="B19" s="38" t="str">
        <x:v>ORDER-10</x:v>
      </x:c>
      <x:c r="C19" s="38" t="str">
        <x:v>Controlled Order Status Transitions</x:v>
      </x:c>
      <x:c r="D19" s="38" t="str">
        <x:v>Staff Operations</x:v>
      </x:c>
      <x:c r="E19" s="38" t="str">
        <x:v>Backend Service</x:v>
      </x:c>
      <x:c r="F19" s="38" t="str">
        <x:v>Admin, Staff, Kitchen Staff</x:v>
      </x:c>
      <x:c r="G19" s="38" t="str">
        <x:v>Moves orders through allowed states such as pending, confirmed, preparing, ready, served, completed, or cancelled.</x:v>
      </x:c>
      <x:c r="H19" s="38" t="str">
        <x:v>Nguyễn Tiến Lộc (DE190986)</x:v>
      </x:c>
      <x:c r="I19" s="38" t="str">
        <x:v>Critical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Updated</x:v>
      </x:c>
      <x:c r="N19" s="38" t="str">
        <x:v>II.8.10</x:v>
      </x:c>
      <x:c r="O19" s="38" t="str">
        <x:v>II.8.10</x:v>
      </x:c>
      <x:c r="P19" s="38" t="str">
        <x:v>Valid sequence succeeds; invalid jumps/reversal fail; kitchen/table/payment side effects remain consistent.</x:v>
      </x:c>
      <x:c r="Q19" s="38" t="str">
        <x:v>EV-ORDER-10 / TC-ORDER-10</x:v>
      </x:c>
      <x:c r="R19" s="38" t="str">
        <x:v>Completion must be tied to persisted successful payment.</x:v>
      </x:c>
    </x:row>
    <x:row r="20" ht="60" customHeight="1">
      <x:c r="A20" s="38" t="n">
        <x:v>16</x:v>
      </x:c>
      <x:c r="B20" s="38" t="str">
        <x:v>STAFF-01</x:v>
      </x:c>
      <x:c r="C20" s="38" t="str">
        <x:v>Assign Tables to Staff</x:v>
      </x:c>
      <x:c r="D20" s="38" t="str">
        <x:v>Staff Operations</x:v>
      </x:c>
      <x:c r="E20" s="38" t="str">
        <x:v>Admin/Staff Screen / API</x:v>
      </x:c>
      <x:c r="F20" s="38" t="str">
        <x:v>Admin, Staff</x:v>
      </x:c>
      <x:c r="G20" s="38" t="str">
        <x:v>Creates time-bounded staff-to-table assignments used by the service workspace.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1</x:v>
      </x:c>
      <x:c r="M20" s="38" t="str">
        <x:v>Done</x:v>
      </x:c>
      <x:c r="N20" s="38" t="str">
        <x:v>II.9.1</x:v>
      </x:c>
      <x:c r="O20" s="38" t="str">
        <x:v>II.9.1</x:v>
      </x:c>
      <x:c r="P20" s="38" t="str">
        <x:v>Valid assignment appears in workspace; invalid/inactive references are rejected; history is retained.</x:v>
      </x:c>
      <x:c r="Q20" s="38" t="str">
        <x:v>EV-STAFF-01 / TC-STAFF-01</x:v>
      </x:c>
      <x:c r="R20" s="38" t="str">
        <x:v>Completed.</x:v>
      </x:c>
    </x:row>
    <x:row r="21" ht="60" customHeight="1">
      <x:c r="A21" s="38" t="n">
        <x:v>17</x:v>
      </x:c>
      <x:c r="B21" s="38" t="str">
        <x:v>STAFF-02</x:v>
      </x:c>
      <x:c r="C21" s="38" t="str">
        <x:v>Prevent Active Assignment Conflict</x:v>
      </x:c>
      <x:c r="D21" s="38" t="str">
        <x:v>Staff Operations</x:v>
      </x:c>
      <x:c r="E21" s="38" t="str">
        <x:v>Business Service</x:v>
      </x:c>
      <x:c r="F21" s="38" t="str">
        <x:v>Admin, Staff</x:v>
      </x:c>
      <x:c r="G21" s="38" t="str">
        <x:v>Prevents overlapping active assignments that violate the configured one-table/one-staff service policy.</x:v>
      </x:c>
      <x:c r="H21" s="38" t="str">
        <x:v>Trần Thanh Gia Huy (DE180571)</x:v>
      </x:c>
      <x:c r="I21" s="38" t="str">
        <x:v>High</x:v>
      </x:c>
      <x:c r="J21" s="38" t="str">
        <x:v>Complex</x:v>
      </x:c>
      <x:c r="K21" s="38" t="n">
        <x:v>240</x:v>
      </x:c>
      <x:c r="L21" s="38" t="str">
        <x:v>Week 1</x:v>
      </x:c>
      <x:c r="M21" s="38" t="str">
        <x:v>Done</x:v>
      </x:c>
      <x:c r="N21" s="38" t="str">
        <x:v>II.9.2</x:v>
      </x:c>
      <x:c r="O21" s="38" t="str">
        <x:v>II.9.2</x:v>
      </x:c>
      <x:c r="P21" s="38" t="str">
        <x:v>Conflicting assignment is rejected; non-overlapping assignment succeeds; concurrent tests preserve consistency.</x:v>
      </x:c>
      <x:c r="Q21" s="38" t="str">
        <x:v>EV-STAFF-02 / TC-STAFF-02</x:v>
      </x:c>
      <x:c r="R21" s="38" t="str">
        <x:v>Completed.</x:v>
      </x:c>
    </x:row>
    <x:row r="22" ht="60" customHeight="1">
      <x:c r="A22" s="38" t="n">
        <x:v>18</x:v>
      </x:c>
      <x:c r="B22" s="38" t="str">
        <x:v>STAFF-03</x:v>
      </x:c>
      <x:c r="C22" s="38" t="str">
        <x:v>Staff Workspace / Assigned Tables</x:v>
      </x:c>
      <x:c r="D22" s="38" t="str">
        <x:v>Staff Operations</x:v>
      </x:c>
      <x:c r="E22" s="38" t="str">
        <x:v>Staff Screen</x:v>
      </x:c>
      <x:c r="F22" s="38" t="str">
        <x:v>Staff</x:v>
      </x:c>
      <x:c r="G22" s="38" t="str">
        <x:v>Shows the logged-in staff member's assigned tables, current reservations, and active orders.</x:v>
      </x:c>
      <x:c r="H22" s="38" t="str">
        <x:v>Nguyễn Đức Thương (DE190096)</x:v>
      </x:c>
      <x:c r="I22" s="38" t="str">
        <x:v>High</x:v>
      </x:c>
      <x:c r="J22" s="38" t="str">
        <x:v>Medium</x:v>
      </x:c>
      <x:c r="K22" s="38" t="n">
        <x:v>120</x:v>
      </x:c>
      <x:c r="L22" s="38" t="str">
        <x:v>Week 2</x:v>
      </x:c>
      <x:c r="M22" s="38" t="str">
        <x:v>Done</x:v>
      </x:c>
      <x:c r="N22" s="38" t="str">
        <x:v>II.9.3</x:v>
      </x:c>
      <x:c r="O22" s="38" t="str">
        <x:v>II.9.3</x:v>
      </x:c>
      <x:c r="P22" s="38" t="str">
        <x:v>Staff sees only assigned work; updates reflect order/table status changes; empty state is usable.</x:v>
      </x:c>
      <x:c r="Q22" s="38" t="str">
        <x:v>EV-STAFF-03 / TC-STAFF-03</x:v>
      </x:c>
      <x:c r="R22" s="38" t="str">
        <x:v>Completed.</x:v>
      </x:c>
    </x:row>
    <x:row r="23" ht="60" customHeight="1">
      <x:c r="A23" s="38" t="n">
        <x:v>19</x:v>
      </x:c>
      <x:c r="B23" s="38" t="str">
        <x:v>STAFF-04</x:v>
      </x:c>
      <x:c r="C23" s="38" t="str">
        <x:v>Cancel Order with Reason &amp; Audit</x:v>
      </x:c>
      <x:c r="D23" s="38" t="str">
        <x:v>Staff Operations</x:v>
      </x:c>
      <x:c r="E23" s="38" t="str">
        <x:v>Staff/Admin API</x:v>
      </x:c>
      <x:c r="F23" s="38" t="str">
        <x:v>Admin, Staff</x:v>
      </x:c>
      <x:c r="G23" s="38" t="str">
        <x:v>Cancels an eligible order with a required reason and records who performed the action.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2</x:v>
      </x:c>
      <x:c r="M23" s="38" t="str">
        <x:v>Updated</x:v>
      </x:c>
      <x:c r="N23" s="38" t="str">
        <x:v>II.9.4</x:v>
      </x:c>
      <x:c r="O23" s="38" t="str">
        <x:v>II.9.4</x:v>
      </x:c>
      <x:c r="P23" s="38" t="str">
        <x:v>Allowed cancellation records reason/actor/time; forbidden state is rejected; order remains visible in history.</x:v>
      </x:c>
      <x:c r="Q23" s="38" t="str">
        <x:v>EV-STAFF-04 / TC-STAFF-04</x:v>
      </x:c>
      <x:c r="R23" s="38" t="str">
        <x:v>Final payment-aware cancellation policy is required.</x:v>
      </x:c>
    </x:row>
    <x:row r="24" ht="60" customHeight="1">
      <x:c r="A24" s="38" t="n">
        <x:v>20</x:v>
      </x:c>
      <x:c r="B24" s="38" t="str">
        <x:v>KITCHEN-01</x:v>
      </x:c>
      <x:c r="C24" s="38" t="str">
        <x:v>Kitchen Order Queue</x:v>
      </x:c>
      <x:c r="D24" s="38" t="str">
        <x:v>Kitchen Operations</x:v>
      </x:c>
      <x:c r="E24" s="38" t="str">
        <x:v>Kitchen Screen / API</x:v>
      </x:c>
      <x:c r="F24" s="38" t="str">
        <x:v>Kitchen Staff</x:v>
      </x:c>
      <x:c r="G24" s="38" t="str">
        <x:v>Shows confirmed/preparing orders needing kitchen action, prioritized by time and operational status.</x:v>
      </x:c>
      <x:c r="H24" s="38" t="str">
        <x:v>Nguyễn Tiến Lộc (DE190986)</x:v>
      </x:c>
      <x:c r="I24" s="38" t="str">
        <x:v>High</x:v>
      </x:c>
      <x:c r="J24" s="38" t="str">
        <x:v>Complex</x:v>
      </x:c>
      <x:c r="K24" s="38" t="n">
        <x:v>240</x:v>
      </x:c>
      <x:c r="L24" s="38" t="str">
        <x:v>Week 1</x:v>
      </x:c>
      <x:c r="M24" s="38" t="str">
        <x:v>Updated</x:v>
      </x:c>
      <x:c r="N24" s="38" t="str">
        <x:v>II.10.1</x:v>
      </x:c>
      <x:c r="O24" s="38" t="str">
        <x:v>II.10.1</x:v>
      </x:c>
      <x:c r="P24" s="38" t="str">
        <x:v>Queue refreshes from live data; completed/cancelled items leave active queue; wrong roles are denied.</x:v>
      </x:c>
      <x:c r="Q24" s="38" t="str">
        <x:v>EV-KITCHEN-01 / TC-KITCHEN-01</x:v>
      </x:c>
      <x:c r="R24" s="38" t="str">
        <x:v>Priority and refresh behavior were enhanced.</x:v>
      </x:c>
    </x:row>
    <x:row r="25" ht="60" customHeight="1">
      <x:c r="A25" s="38" t="n">
        <x:v>21</x:v>
      </x:c>
      <x:c r="B25" s="38" t="str">
        <x:v>KITCHEN-02</x:v>
      </x:c>
      <x:c r="C25" s="38" t="str">
        <x:v>Item-level Preparation Notes &amp; Status</x:v>
      </x:c>
      <x:c r="D25" s="38" t="str">
        <x:v>Kitchen Operations</x:v>
      </x:c>
      <x:c r="E25" s="38" t="str">
        <x:v>Kitchen Screen / API</x:v>
      </x:c>
      <x:c r="F25" s="38" t="str">
        <x:v>Kitchen Staff</x:v>
      </x:c>
      <x:c r="G25" s="38" t="str">
        <x:v>Displays item notes and updates preparation status at item/order level according to the chosen workflow.</x:v>
      </x:c>
      <x:c r="H25" s="38" t="str">
        <x:v>Nguyễn Tiến Lộc (DE190986)</x:v>
      </x:c>
      <x:c r="I25" s="38" t="str">
        <x:v>High</x:v>
      </x:c>
      <x:c r="J25" s="38" t="str">
        <x:v>Complex</x:v>
      </x:c>
      <x:c r="K25" s="38" t="n">
        <x:v>240</x:v>
      </x:c>
      <x:c r="L25" s="38" t="str">
        <x:v>Week 1</x:v>
      </x:c>
      <x:c r="M25" s="38" t="str">
        <x:v>Updated</x:v>
      </x:c>
      <x:c r="N25" s="38" t="str">
        <x:v>II.10.2</x:v>
      </x:c>
      <x:c r="O25" s="38" t="str">
        <x:v>II.10.2</x:v>
      </x:c>
      <x:c r="P25" s="38" t="str">
        <x:v>Notes are visible; valid preparation updates persist; invalid transitions and unauthorized fields are rejected.</x:v>
      </x:c>
      <x:c r="Q25" s="38" t="str">
        <x:v>EV-KITCHEN-02 / TC-KITCHEN-02</x:v>
      </x:c>
      <x:c r="R25" s="38" t="str">
        <x:v>Completed with item note handling.</x:v>
      </x:c>
    </x:row>
    <x:row r="26" ht="60" customHeight="1">
      <x:c r="A26" s="38" t="n">
        <x:v>22</x:v>
      </x:c>
      <x:c r="B26" s="38" t="str">
        <x:v>KITCHEN-03</x:v>
      </x:c>
      <x:c r="C26" s="38" t="str">
        <x:v>Kitchen History Search &amp; Filter</x:v>
      </x:c>
      <x:c r="D26" s="38" t="str">
        <x:v>Kitchen Operations</x:v>
      </x:c>
      <x:c r="E26" s="38" t="str">
        <x:v>Kitchen Screen / API</x:v>
      </x:c>
      <x:c r="F26" s="38" t="str">
        <x:v>Kitchen Staff, Admin</x:v>
      </x:c>
      <x:c r="G26" s="38" t="str">
        <x:v>Lists prepared, completed, and cancelled kitchen work with date/status/order filters.</x:v>
      </x:c>
      <x:c r="H26" s="38" t="str">
        <x:v>Nguyễn Tiến Lộc (DE190986)</x:v>
      </x:c>
      <x:c r="I26" s="38" t="str">
        <x:v>Medium</x:v>
      </x:c>
      <x:c r="J26" s="38" t="str">
        <x:v>Medium</x:v>
      </x:c>
      <x:c r="K26" s="38" t="n">
        <x:v>120</x:v>
      </x:c>
      <x:c r="L26" s="38" t="str">
        <x:v>Week 2</x:v>
      </x:c>
      <x:c r="M26" s="38" t="str">
        <x:v>Done</x:v>
      </x:c>
      <x:c r="N26" s="38" t="str">
        <x:v>II.10.3</x:v>
      </x:c>
      <x:c r="O26" s="38" t="str">
        <x:v>II.10.3</x:v>
      </x:c>
      <x:c r="P26" s="38" t="str">
        <x:v>Search/filter returns correct history; finalized data cannot be edited; empty results are handled.</x:v>
      </x:c>
      <x:c r="Q26" s="38" t="str">
        <x:v>EV-KITCHEN-03 / TC-KITCHEN-03</x:v>
      </x:c>
      <x:c r="R26" s="38" t="str">
        <x:v>Completed.</x:v>
      </x:c>
    </x:row>
    <x:row r="27" ht="60" customHeight="1">
      <x:c r="A27" s="38" t="n">
        <x:v>23</x:v>
      </x:c>
      <x:c r="B27" s="38" t="str">
        <x:v>KITCHEN-04</x:v>
      </x:c>
      <x:c r="C27" s="38" t="str">
        <x:v>Kitchen Access Authorization</x:v>
      </x:c>
      <x:c r="D27" s="38" t="str">
        <x:v>Kitchen Operations</x:v>
      </x:c>
      <x:c r="E27" s="38" t="str">
        <x:v>Authorization Policy</x:v>
      </x:c>
      <x:c r="F27" s="38" t="str">
        <x:v>Kitchen Staff, Admin</x:v>
      </x:c>
      <x:c r="G27" s="38" t="str">
        <x:v>Restricts kitchen queue and status actions to kitchen staff or explicitly authorized admin roles.</x:v>
      </x:c>
      <x:c r="H27" s="38" t="str">
        <x:v>Phạm Văn Quyết (DE190425)</x:v>
      </x:c>
      <x:c r="I27" s="38" t="str">
        <x:v>Critical</x:v>
      </x:c>
      <x:c r="J27" s="38" t="str">
        <x:v>Medium</x:v>
      </x:c>
      <x:c r="K27" s="38" t="n">
        <x:v>120</x:v>
      </x:c>
      <x:c r="L27" s="38" t="str">
        <x:v>Week 2</x:v>
      </x:c>
      <x:c r="M27" s="38" t="str">
        <x:v>Done</x:v>
      </x:c>
      <x:c r="N27" s="38" t="str">
        <x:v>II.10.4</x:v>
      </x:c>
      <x:c r="O27" s="38" t="str">
        <x:v>II.10.4</x:v>
      </x:c>
      <x:c r="P27" s="38" t="str">
        <x:v>Authorization tests prove correct role access and reject all disallowed roles.</x:v>
      </x:c>
      <x:c r="Q27" s="38" t="str">
        <x:v>EV-KITCHEN-04 / TC-KITCHEN-04</x:v>
      </x:c>
      <x:c r="R27" s="38" t="str">
        <x:v>Must be rerun after JWT filter finalization.</x:v>
      </x:c>
    </x:row>
  </x:sheetData>
  <x:mergeCells>
    <x:mergeCell ref="A1:R1"/>
    <x:mergeCell ref="A2:R2"/>
    <x:mergeCell ref="A3:R3"/>
  </x:mergeCells>
  <x:conditionalFormatting sqref="M5:M27">
    <x:cfRule type="expression" dxfId="18" priority="1">
      <x:formula>M5="Done"</x:formula>
    </x:cfRule>
    <x:cfRule type="expression" dxfId="19" priority="2">
      <x:formula>M5="Updated"</x:formula>
    </x:cfRule>
    <x:cfRule type="expression" dxfId="20" priority="3">
      <x:formula>M5="Doing"</x:formula>
    </x:cfRule>
    <x:cfRule type="expression" dxfId="21" priority="4">
      <x:formula>M5="Not Started"</x:formula>
    </x:cfRule>
  </x:conditionalFormatting>
  <x:dataValidations count="5">
    <x:dataValidation type="list" sqref="H5:H27">
      <x:formula1>"Phan Nguyễn (DE191019),Phạm Văn Quyết (DE190425),Nguyễn Tiến Lộc (DE190986),Nguyễn Đức Thương (DE190096),Trần Thanh Gia Huy (DE180571)"</x:formula1>
    </x:dataValidation>
    <x:dataValidation type="list" sqref="I5:I27">
      <x:formula1>"Critical,High,Medium,Low"</x:formula1>
    </x:dataValidation>
    <x:dataValidation type="list" sqref="J5:J27">
      <x:formula1>"Simple,Medium,Complex"</x:formula1>
    </x:dataValidation>
    <x:dataValidation type="list" sqref="L5:L27">
      <x:formula1>"Week 1,Week 2"</x:formula1>
    </x:dataValidation>
    <x:dataValidation type="list" sqref="M5:M27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ed24a2c7194e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RESTAURANT MANAGEMENT SYSTEM – ITER4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22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COUPON-01</x:v>
      </x:c>
      <x:c r="C5" s="38" t="str">
        <x:v>Coupon Entity &amp; Database Migration</x:v>
      </x:c>
      <x:c r="D5" s="38" t="str">
        <x:v>Coupon Management</x:v>
      </x:c>
      <x:c r="E5" s="38" t="str">
        <x:v>Database Migration</x:v>
      </x:c>
      <x:c r="F5" s="38" t="str">
        <x:v>Admin, Customer, Staff</x:v>
      </x:c>
      <x:c r="G5" s="38" t="str">
        <x:v>Creates coupon and usage persistence with code, type, value, limits, validity period, status, and audit fields.</x:v>
      </x:c>
      <x:c r="H5" s="38" t="str">
        <x:v>Trần Thanh Gia Huy (DE180571)</x:v>
      </x:c>
      <x:c r="I5" s="38" t="str">
        <x:v>Critical</x:v>
      </x:c>
      <x:c r="J5" s="38" t="str">
        <x:v>Complex</x:v>
      </x:c>
      <x:c r="K5" s="38" t="n">
        <x:v>240</x:v>
      </x:c>
      <x:c r="L5" s="38" t="str">
        <x:v>Week 1</x:v>
      </x:c>
      <x:c r="M5" s="38" t="str">
        <x:v>Not Started</x:v>
      </x:c>
      <x:c r="N5" s="38" t="str">
        <x:v>II.11.1</x:v>
      </x:c>
      <x:c r="O5" s="38" t="str">
        <x:v>II.11.1</x:v>
      </x:c>
      <x:c r="P5" s="38" t="str">
        <x:v>Migration succeeds on a clean database; constraints reject invalid/duplicate records; entity mapping passes tests.</x:v>
      </x:c>
      <x:c r="Q5" s="38" t="str">
        <x:v>EV-COUPON-01 / TC-COUPON-01</x:v>
      </x:c>
      <x:c r="R5" s="38" t="str">
        <x:v>No verified coupon tables/entities currently exist.</x:v>
      </x:c>
    </x:row>
    <x:row r="6" ht="60" customHeight="1">
      <x:c r="A6" s="38" t="n">
        <x:v>2</x:v>
      </x:c>
      <x:c r="B6" s="38" t="str">
        <x:v>COUPON-02</x:v>
      </x:c>
      <x:c r="C6" s="38" t="str">
        <x:v>Admin Coupon List / Create / Update</x:v>
      </x:c>
      <x:c r="D6" s="38" t="str">
        <x:v>Coupon Management</x:v>
      </x:c>
      <x:c r="E6" s="38" t="str">
        <x:v>Admin Screen / API</x:v>
      </x:c>
      <x:c r="F6" s="38" t="str">
        <x:v>Admin</x:v>
      </x:c>
      <x:c r="G6" s="38" t="str">
        <x:v>Provides secure coupon search, creation, editing, activation, and deactivation.</x:v>
      </x:c>
      <x:c r="H6" s="38" t="str">
        <x:v>Nguyễn Đức Thương (DE190096)</x:v>
      </x:c>
      <x:c r="I6" s="38" t="str">
        <x:v>Critical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Not Started</x:v>
      </x:c>
      <x:c r="N6" s="38" t="str">
        <x:v>II.11.2</x:v>
      </x:c>
      <x:c r="O6" s="38" t="str">
        <x:v>II.11.2</x:v>
      </x:c>
      <x:c r="P6" s="38" t="str">
        <x:v>Admin CRUD persists correctly; invalid/duplicate data is rejected; non-admin mutation returns 403.</x:v>
      </x:c>
      <x:c r="Q6" s="38" t="str">
        <x:v>EV-COUPON-02 / TC-COUPON-02</x:v>
      </x:c>
      <x:c r="R6" s="38" t="str">
        <x:v>Backend and frontend management flows are missing.</x:v>
      </x:c>
    </x:row>
    <x:row r="7" ht="60" customHeight="1">
      <x:c r="A7" s="38" t="n">
        <x:v>3</x:v>
      </x:c>
      <x:c r="B7" s="38" t="str">
        <x:v>COUPON-03</x:v>
      </x:c>
      <x:c r="C7" s="38" t="str">
        <x:v>Coupon Eligibility Validation API</x:v>
      </x:c>
      <x:c r="D7" s="38" t="str">
        <x:v>Coupon Management</x:v>
      </x:c>
      <x:c r="E7" s="38" t="str">
        <x:v>Backend API</x:v>
      </x:c>
      <x:c r="F7" s="38" t="str">
        <x:v>Customer, Staff</x:v>
      </x:c>
      <x:c r="G7" s="38" t="str">
        <x:v>Validates coupon status, date, minimum amount, usage limits, role/customer eligibility, and applicable order context.</x:v>
      </x:c>
      <x:c r="H7" s="38" t="str">
        <x:v>Trần Thanh Gia Huy (DE180571)</x:v>
      </x:c>
      <x:c r="I7" s="38" t="str">
        <x:v>Critical</x:v>
      </x:c>
      <x:c r="J7" s="38" t="str">
        <x:v>Complex</x:v>
      </x:c>
      <x:c r="K7" s="38" t="n">
        <x:v>240</x:v>
      </x:c>
      <x:c r="L7" s="38" t="str">
        <x:v>Week 1</x:v>
      </x:c>
      <x:c r="M7" s="38" t="str">
        <x:v>Not Started</x:v>
      </x:c>
      <x:c r="N7" s="38" t="str">
        <x:v>II.11.3</x:v>
      </x:c>
      <x:c r="O7" s="38" t="str">
        <x:v>II.11.3</x:v>
      </x:c>
      <x:c r="P7" s="38" t="str">
        <x:v>Valid coupon returns authoritative discount preview; expired/inactive/over-limit/ineligible coupons are rejected.</x:v>
      </x:c>
      <x:c r="Q7" s="38" t="str">
        <x:v>EV-COUPON-03 / TC-COUPON-03</x:v>
      </x:c>
      <x:c r="R7" s="38" t="str">
        <x:v>Required before checkout can be audit-safe.</x:v>
      </x:c>
    </x:row>
    <x:row r="8" ht="60" customHeight="1">
      <x:c r="A8" s="38" t="n">
        <x:v>4</x:v>
      </x:c>
      <x:c r="B8" s="38" t="str">
        <x:v>COUPON-04</x:v>
      </x:c>
      <x:c r="C8" s="38" t="str">
        <x:v>Apply Coupon Server-side to Order</x:v>
      </x:c>
      <x:c r="D8" s="38" t="str">
        <x:v>Coupon Management</x:v>
      </x:c>
      <x:c r="E8" s="38" t="str">
        <x:v>Business Service</x:v>
      </x:c>
      <x:c r="F8" s="38" t="str">
        <x:v>Customer, Staff</x:v>
      </x:c>
      <x:c r="G8" s="38" t="str">
        <x:v>Applies the validated coupon inside the order transaction and persists discount and final total.</x:v>
      </x:c>
      <x:c r="H8" s="38" t="str">
        <x:v>Nguyễn Tiến Lộc (DE190986)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1</x:v>
      </x:c>
      <x:c r="M8" s="38" t="str">
        <x:v>Doing</x:v>
      </x:c>
      <x:c r="N8" s="38" t="str">
        <x:v>II.11.4</x:v>
      </x:c>
      <x:c r="O8" s="38" t="str">
        <x:v>II.11.4</x:v>
      </x:c>
      <x:c r="P8" s="38" t="str">
        <x:v>Persisted order total matches server calculation; manipulated requests fail; transaction rolls back on invalid coupon.</x:v>
      </x:c>
      <x:c r="Q8" s="38" t="str">
        <x:v>EV-COUPON-04 / TC-COUPON-04</x:v>
      </x:c>
      <x:c r="R8" s="38" t="str">
        <x:v>Current discount behavior is client-side or incomplete.</x:v>
      </x:c>
    </x:row>
    <x:row r="9" ht="60" customHeight="1">
      <x:c r="A9" s="38" t="n">
        <x:v>5</x:v>
      </x:c>
      <x:c r="B9" s="38" t="str">
        <x:v>COUPON-05</x:v>
      </x:c>
      <x:c r="C9" s="38" t="str">
        <x:v>Coupon Usage Limit &amp; Atomic Persistence</x:v>
      </x:c>
      <x:c r="D9" s="38" t="str">
        <x:v>Coupon Management</x:v>
      </x:c>
      <x:c r="E9" s="38" t="str">
        <x:v>Database / Business Service</x:v>
      </x:c>
      <x:c r="F9" s="38" t="str">
        <x:v>Customer, Staff</x:v>
      </x:c>
      <x:c r="G9" s="38" t="str">
        <x:v>Records coupon usage atomically and enforces global/per-user usage limits during concurrent order creation.</x:v>
      </x:c>
      <x:c r="H9" s="38" t="str">
        <x:v>Trần Thanh Gia Huy (DE180571)</x:v>
      </x:c>
      <x:c r="I9" s="38" t="str">
        <x:v>Critical</x:v>
      </x:c>
      <x:c r="J9" s="38" t="str">
        <x:v>Complex</x:v>
      </x:c>
      <x:c r="K9" s="38" t="n">
        <x:v>240</x:v>
      </x:c>
      <x:c r="L9" s="38" t="str">
        <x:v>Week 1</x:v>
      </x:c>
      <x:c r="M9" s="38" t="str">
        <x:v>Not Started</x:v>
      </x:c>
      <x:c r="N9" s="38" t="str">
        <x:v>II.11.5</x:v>
      </x:c>
      <x:c r="O9" s="38" t="str">
        <x:v>II.11.5</x:v>
      </x:c>
      <x:c r="P9" s="38" t="str">
        <x:v>Concurrent final-usage tests allow only permitted usage; failed order creates no orphan usage record.</x:v>
      </x:c>
      <x:c r="Q9" s="38" t="str">
        <x:v>EV-COUPON-05 / TC-COUPON-05</x:v>
      </x:c>
      <x:c r="R9" s="38" t="str">
        <x:v>Requires coupon usage table and transaction tests.</x:v>
      </x:c>
    </x:row>
    <x:row r="10" ht="60" customHeight="1">
      <x:c r="A10" s="38" t="n">
        <x:v>6</x:v>
      </x:c>
      <x:c r="B10" s="38" t="str">
        <x:v>PAY-01</x:v>
      </x:c>
      <x:c r="C10" s="38" t="str">
        <x:v>Payment Method Selection UI</x:v>
      </x:c>
      <x:c r="D10" s="38" t="str">
        <x:v>Payment &amp; Invoice</x:v>
      </x:c>
      <x:c r="E10" s="38" t="str">
        <x:v>Customer / Staff UI</x:v>
      </x:c>
      <x:c r="F10" s="38" t="str">
        <x:v>Customer, Staff</x:v>
      </x:c>
      <x:c r="G10" s="38" t="str">
        <x:v>Allows selection of supported payment methods such as cash or QR and displays payable amount from the server.</x:v>
      </x:c>
      <x:c r="H10" s="38" t="str">
        <x:v>Nguyễn Đức Thương (DE190096)</x:v>
      </x:c>
      <x:c r="I10" s="38" t="str">
        <x:v>High</x:v>
      </x:c>
      <x:c r="J10" s="38" t="str">
        <x:v>Medium</x:v>
      </x:c>
      <x:c r="K10" s="38" t="n">
        <x:v>120</x:v>
      </x:c>
      <x:c r="L10" s="38" t="str">
        <x:v>Week 1</x:v>
      </x:c>
      <x:c r="M10" s="38" t="str">
        <x:v>Doing</x:v>
      </x:c>
      <x:c r="N10" s="38" t="str">
        <x:v>II.12.1</x:v>
      </x:c>
      <x:c r="O10" s="38" t="str">
        <x:v>II.12.1</x:v>
      </x:c>
      <x:c r="P10" s="38" t="str">
        <x:v>Selected method is submitted to the payment API; displayed amount matches server; unsupported method is blocked.</x:v>
      </x:c>
      <x:c r="Q10" s="38" t="str">
        <x:v>EV-PAY-01 / TC-PAY-01</x:v>
      </x:c>
      <x:c r="R10" s="38" t="str">
        <x:v>Existing UI simulates completion and must be connected to persisted payment.</x:v>
      </x:c>
    </x:row>
    <x:row r="11" ht="60" customHeight="1">
      <x:c r="A11" s="38" t="n">
        <x:v>7</x:v>
      </x:c>
      <x:c r="B11" s="38" t="str">
        <x:v>PAY-02</x:v>
      </x:c>
      <x:c r="C11" s="38" t="str">
        <x:v>Payment Processing API</x:v>
      </x:c>
      <x:c r="D11" s="38" t="str">
        <x:v>Payment &amp; Invoice</x:v>
      </x:c>
      <x:c r="E11" s="38" t="str">
        <x:v>Backend API</x:v>
      </x:c>
      <x:c r="F11" s="38" t="str">
        <x:v>Customer, Staff</x:v>
      </x:c>
      <x:c r="G11" s="38" t="str">
        <x:v>Processes an eligible order payment request and returns an authoritative payment result.</x:v>
      </x:c>
      <x:c r="H11" s="38" t="str">
        <x:v>Phạm Văn Quyết (DE190425)</x:v>
      </x:c>
      <x:c r="I11" s="38" t="str">
        <x:v>Critical</x:v>
      </x:c>
      <x:c r="J11" s="38" t="str">
        <x:v>Complex</x:v>
      </x:c>
      <x:c r="K11" s="38" t="n">
        <x:v>240</x:v>
      </x:c>
      <x:c r="L11" s="38" t="str">
        <x:v>Week 1</x:v>
      </x:c>
      <x:c r="M11" s="38" t="str">
        <x:v>Not Started</x:v>
      </x:c>
      <x:c r="N11" s="38" t="str">
        <x:v>II.12.2</x:v>
      </x:c>
      <x:c r="O11" s="38" t="str">
        <x:v>II.12.2</x:v>
      </x:c>
      <x:c r="P11" s="38" t="str">
        <x:v>Successful request creates payment; invalid order/state/role fails; API is covered for cash/QR outcomes.</x:v>
      </x:c>
      <x:c r="Q11" s="38" t="str">
        <x:v>EV-PAY-02 / TC-PAY-02</x:v>
      </x:c>
      <x:c r="R11" s="38" t="str">
        <x:v>No verified /api/payments/process lifecycle currently exists.</x:v>
      </x:c>
    </x:row>
    <x:row r="12" ht="60" customHeight="1">
      <x:c r="A12" s="38" t="n">
        <x:v>8</x:v>
      </x:c>
      <x:c r="B12" s="38" t="str">
        <x:v>PAY-03</x:v>
      </x:c>
      <x:c r="C12" s="38" t="str">
        <x:v>Payment Amount Verification &amp; Idempotency</x:v>
      </x:c>
      <x:c r="D12" s="38" t="str">
        <x:v>Payment &amp; Invoice</x:v>
      </x:c>
      <x:c r="E12" s="38" t="str">
        <x:v>Business Service</x:v>
      </x:c>
      <x:c r="F12" s="38" t="str">
        <x:v>Customer, Staff</x:v>
      </x:c>
      <x:c r="G12" s="38" t="str">
        <x:v>Verifies payment amount against the final order total and prevents duplicate processing of the same request/order.</x:v>
      </x:c>
      <x:c r="H12" s="38" t="str">
        <x:v>Nguyễn Tiến Lộc (DE190986)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Not Started</x:v>
      </x:c>
      <x:c r="N12" s="38" t="str">
        <x:v>II.12.3</x:v>
      </x:c>
      <x:c r="O12" s="38" t="str">
        <x:v>II.12.3</x:v>
      </x:c>
      <x:c r="P12" s="38" t="str">
        <x:v>Amount mismatch fails; repeated request returns the original result or safe conflict; no duplicate records are created.</x:v>
      </x:c>
      <x:c r="Q12" s="38" t="str">
        <x:v>EV-PAY-03 / TC-PAY-03</x:v>
      </x:c>
      <x:c r="R12" s="38" t="str">
        <x:v>Required for financial integrity.</x:v>
      </x:c>
    </x:row>
    <x:row r="13" ht="60" customHeight="1">
      <x:c r="A13" s="38" t="n">
        <x:v>9</x:v>
      </x:c>
      <x:c r="B13" s="38" t="str">
        <x:v>PAY-04</x:v>
      </x:c>
      <x:c r="C13" s="38" t="str">
        <x:v>Persist Payment &amp; Complete Order Transactionally</x:v>
      </x:c>
      <x:c r="D13" s="38" t="str">
        <x:v>Payment &amp; Invoice</x:v>
      </x:c>
      <x:c r="E13" s="38" t="str">
        <x:v>Backend Service / DB</x:v>
      </x:c>
      <x:c r="F13" s="38" t="str">
        <x:v>Customer, Staff</x:v>
      </x:c>
      <x:c r="G13" s="38" t="str">
        <x:v>Stores payment details and updates the order to completed only within one successful transaction.</x:v>
      </x:c>
      <x:c r="H13" s="38" t="str">
        <x:v>Nguyễn Tiến Lộc (DE190986)</x:v>
      </x:c>
      <x:c r="I13" s="38" t="str">
        <x:v>Critical</x:v>
      </x:c>
      <x:c r="J13" s="38" t="str">
        <x:v>Complex</x:v>
      </x:c>
      <x:c r="K13" s="38" t="n">
        <x:v>240</x:v>
      </x:c>
      <x:c r="L13" s="38" t="str">
        <x:v>Week 1</x:v>
      </x:c>
      <x:c r="M13" s="38" t="str">
        <x:v>Not Started</x:v>
      </x:c>
      <x:c r="N13" s="38" t="str">
        <x:v>II.12.4</x:v>
      </x:c>
      <x:c r="O13" s="38" t="str">
        <x:v>II.12.4</x:v>
      </x:c>
      <x:c r="P13" s="38" t="str">
        <x:v>Success creates one payment and completes order; failure rolls back; SQL evidence reconciles amount/status.</x:v>
      </x:c>
      <x:c r="Q13" s="38" t="str">
        <x:v>EV-PAY-04 / TC-PAY-04</x:v>
      </x:c>
      <x:c r="R13" s="38" t="str">
        <x:v>UI-only status change is not acceptable for final audit.</x:v>
      </x:c>
    </x:row>
    <x:row r="14" ht="60" customHeight="1">
      <x:c r="A14" s="38" t="n">
        <x:v>10</x:v>
      </x:c>
      <x:c r="B14" s="38" t="str">
        <x:v>INV-01</x:v>
      </x:c>
      <x:c r="C14" s="38" t="str">
        <x:v>Invoice Entity &amp; Unique Order Rule</x:v>
      </x:c>
      <x:c r="D14" s="38" t="str">
        <x:v>Payment &amp; Invoice</x:v>
      </x:c>
      <x:c r="E14" s="38" t="str">
        <x:v>Database Migration</x:v>
      </x:c>
      <x:c r="F14" s="38" t="str">
        <x:v>Customer, Staff, Admin</x:v>
      </x:c>
      <x:c r="G14" s="38" t="str">
        <x:v>Creates immutable invoice persistence linked one-to-one with a successfully paid order.</x:v>
      </x:c>
      <x:c r="H14" s="38" t="str">
        <x:v>Trần Thanh Gia Huy (DE180571)</x:v>
      </x:c>
      <x:c r="I14" s="38" t="str">
        <x:v>Critical</x:v>
      </x:c>
      <x:c r="J14" s="38" t="str">
        <x:v>Complex</x:v>
      </x:c>
      <x:c r="K14" s="38" t="n">
        <x:v>240</x:v>
      </x:c>
      <x:c r="L14" s="38" t="str">
        <x:v>Week 2</x:v>
      </x:c>
      <x:c r="M14" s="38" t="str">
        <x:v>Not Started</x:v>
      </x:c>
      <x:c r="N14" s="38" t="str">
        <x:v>II.13.1</x:v>
      </x:c>
      <x:c r="O14" s="38" t="str">
        <x:v>II.13.1</x:v>
      </x:c>
      <x:c r="P14" s="38" t="str">
        <x:v>Migration creates constraints; duplicate invoice creation fails; invoice values remain unchanged after menu updates.</x:v>
      </x:c>
      <x:c r="Q14" s="38" t="str">
        <x:v>EV-INV-01 / TC-INV-01</x:v>
      </x:c>
      <x:c r="R14" s="38" t="str">
        <x:v>No verified invoice table/entity exists.</x:v>
      </x:c>
    </x:row>
    <x:row r="15" ht="60" customHeight="1">
      <x:c r="A15" s="38" t="n">
        <x:v>11</x:v>
      </x:c>
      <x:c r="B15" s="38" t="str">
        <x:v>INV-02</x:v>
      </x:c>
      <x:c r="C15" s="38" t="str">
        <x:v>Generate Immutable Invoice after Payment</x:v>
      </x:c>
      <x:c r="D15" s="38" t="str">
        <x:v>Payment &amp; Invoice</x:v>
      </x:c>
      <x:c r="E15" s="38" t="str">
        <x:v>Backend Service</x:v>
      </x:c>
      <x:c r="F15" s="38" t="str">
        <x:v>Customer, Staff</x:v>
      </x:c>
      <x:c r="G15" s="38" t="str">
        <x:v>Generates the invoice automatically within/after the successful payment transaction using order and payment snapshots.</x:v>
      </x:c>
      <x:c r="H15" s="38" t="str">
        <x:v>Trần Thanh Gia Huy (DE180571)</x:v>
      </x:c>
      <x:c r="I15" s="38" t="str">
        <x:v>Critical</x:v>
      </x:c>
      <x:c r="J15" s="38" t="str">
        <x:v>Complex</x:v>
      </x:c>
      <x:c r="K15" s="38" t="n">
        <x:v>240</x:v>
      </x:c>
      <x:c r="L15" s="38" t="str">
        <x:v>Week 2</x:v>
      </x:c>
      <x:c r="M15" s="38" t="str">
        <x:v>Not Started</x:v>
      </x:c>
      <x:c r="N15" s="38" t="str">
        <x:v>II.13.2</x:v>
      </x:c>
      <x:c r="O15" s="38" t="str">
        <x:v>II.13.2</x:v>
      </x:c>
      <x:c r="P15" s="38" t="str">
        <x:v>Each successful payment produces exactly one invoice; failed/duplicate payment produces none/one as appropriate.</x:v>
      </x:c>
      <x:c r="Q15" s="38" t="str">
        <x:v>EV-INV-02 / TC-INV-02</x:v>
      </x:c>
      <x:c r="R15" s="38" t="str">
        <x:v>Depends on PAY-04 and INV-01.</x:v>
      </x:c>
    </x:row>
    <x:row r="16" ht="60" customHeight="1">
      <x:c r="A16" s="38" t="n">
        <x:v>12</x:v>
      </x:c>
      <x:c r="B16" s="38" t="str">
        <x:v>INV-03</x:v>
      </x:c>
      <x:c r="C16" s="38" t="str">
        <x:v>View / Download Invoice</x:v>
      </x:c>
      <x:c r="D16" s="38" t="str">
        <x:v>Payment &amp; Invoice</x:v>
      </x:c>
      <x:c r="E16" s="38" t="str">
        <x:v>UI / Backend API</x:v>
      </x:c>
      <x:c r="F16" s="38" t="str">
        <x:v>Customer, Staff, Admin</x:v>
      </x:c>
      <x:c r="G16" s="38" t="str">
        <x:v>Allows authorized users to view invoice details and download/print a stable invoice representation.</x:v>
      </x:c>
      <x:c r="H16" s="38" t="str">
        <x:v>Phan Nguyễn (DE191019)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Not Started</x:v>
      </x:c>
      <x:c r="N16" s="38" t="str">
        <x:v>II.13.3</x:v>
      </x:c>
      <x:c r="O16" s="38" t="str">
        <x:v>II.13.3</x:v>
      </x:c>
      <x:c r="P16" s="38" t="str">
        <x:v>Authorized view/download works; unauthorized access fails; displayed/PDF totals match database.</x:v>
      </x:c>
      <x:c r="Q16" s="38" t="str">
        <x:v>EV-INV-03 / TC-INV-03</x:v>
      </x:c>
      <x:c r="R16" s="38" t="str">
        <x:v>Requires invoice generation and authorization.</x:v>
      </x:c>
    </x:row>
    <x:row r="17" ht="60" customHeight="1">
      <x:c r="A17" s="38" t="n">
        <x:v>13</x:v>
      </x:c>
      <x:c r="B17" s="38" t="str">
        <x:v>FB-01</x:v>
      </x:c>
      <x:c r="C17" s="38" t="str">
        <x:v>Submit Feedback Screen</x:v>
      </x:c>
      <x:c r="D17" s="38" t="str">
        <x:v>Feedback Management</x:v>
      </x:c>
      <x:c r="E17" s="38" t="str">
        <x:v>Customer UI</x:v>
      </x:c>
      <x:c r="F17" s="38" t="str">
        <x:v>Customer</x:v>
      </x:c>
      <x:c r="G17" s="38" t="str">
        <x:v>Collects rating and comment for an eligible completed order and displays validation/API responses.</x:v>
      </x:c>
      <x:c r="H17" s="38" t="str">
        <x:v>Nguyễn Đức Thương (DE190096)</x:v>
      </x:c>
      <x:c r="I17" s="38" t="str">
        <x:v>High</x:v>
      </x:c>
      <x:c r="J17" s="38" t="str">
        <x:v>Medium</x:v>
      </x:c>
      <x:c r="K17" s="38" t="n">
        <x:v>120</x:v>
      </x:c>
      <x:c r="L17" s="38" t="str">
        <x:v>Week 2</x:v>
      </x:c>
      <x:c r="M17" s="38" t="str">
        <x:v>Doing</x:v>
      </x:c>
      <x:c r="N17" s="38" t="str">
        <x:v>II.14.1</x:v>
      </x:c>
      <x:c r="O17" s="38" t="str">
        <x:v>II.14.1</x:v>
      </x:c>
      <x:c r="P17" s="38" t="str">
        <x:v>Eligible customer can submit once; invalid rating/comment is blocked; refresh shows persisted result after backend completion.</x:v>
      </x:c>
      <x:c r="Q17" s="38" t="str">
        <x:v>EV-FB-01 / TC-FB-01</x:v>
      </x:c>
      <x:c r="R17" s="38" t="str">
        <x:v>Current feedback is browser-local and is lost after refresh.</x:v>
      </x:c>
    </x:row>
    <x:row r="18" ht="60" customHeight="1">
      <x:c r="A18" s="38" t="n">
        <x:v>14</x:v>
      </x:c>
      <x:c r="B18" s="38" t="str">
        <x:v>FB-02</x:v>
      </x:c>
      <x:c r="C18" s="38" t="str">
        <x:v>Feedback Persistence &amp; Completed-order Eligibility</x:v>
      </x:c>
      <x:c r="D18" s="38" t="str">
        <x:v>Feedback Management</x:v>
      </x:c>
      <x:c r="E18" s="38" t="str">
        <x:v>Backend API / DB</x:v>
      </x:c>
      <x:c r="F18" s="38" t="str">
        <x:v>Customer</x:v>
      </x:c>
      <x:c r="G18" s="38" t="str">
        <x:v>Persists feedback only when the authenticated customer owns a completed eligible order.</x:v>
      </x:c>
      <x:c r="H18" s="38" t="str">
        <x:v>Nguyễn Tiến Lộc (DE190986)</x:v>
      </x:c>
      <x:c r="I18" s="38" t="str">
        <x:v>Critical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Not Started</x:v>
      </x:c>
      <x:c r="N18" s="38" t="str">
        <x:v>II.14.2</x:v>
      </x:c>
      <x:c r="O18" s="38" t="str">
        <x:v>II.14.2</x:v>
      </x:c>
      <x:c r="P18" s="38" t="str">
        <x:v>Eligible feedback remains after refresh; ineligible/unauthorized requests fail; database relation is correct.</x:v>
      </x:c>
      <x:c r="Q18" s="38" t="str">
        <x:v>EV-FB-02 / TC-FB-02</x:v>
      </x:c>
      <x:c r="R18" s="38" t="str">
        <x:v>Feedback entity/table/API are missing.</x:v>
      </x:c>
    </x:row>
    <x:row r="19" ht="60" customHeight="1">
      <x:c r="A19" s="38" t="n">
        <x:v>15</x:v>
      </x:c>
      <x:c r="B19" s="38" t="str">
        <x:v>FB-03</x:v>
      </x:c>
      <x:c r="C19" s="38" t="str">
        <x:v>One Feedback per Order &amp; Input Validation</x:v>
      </x:c>
      <x:c r="D19" s="38" t="str">
        <x:v>Feedback Management</x:v>
      </x:c>
      <x:c r="E19" s="38" t="str">
        <x:v>Business Service / DB</x:v>
      </x:c>
      <x:c r="F19" s="38" t="str">
        <x:v>Customer</x:v>
      </x:c>
      <x:c r="G19" s="38" t="str">
        <x:v>Enforces one active feedback record per customer order and validates rating/comment.</x:v>
      </x:c>
      <x:c r="H19" s="38" t="str">
        <x:v>Nguyễn Tiến Lộc (DE190986)</x:v>
      </x:c>
      <x:c r="I19" s="38" t="str">
        <x:v>High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Not Started</x:v>
      </x:c>
      <x:c r="N19" s="38" t="str">
        <x:v>II.14.3</x:v>
      </x:c>
      <x:c r="O19" s="38" t="str">
        <x:v>II.14.3</x:v>
      </x:c>
      <x:c r="P19" s="38" t="str">
        <x:v>Duplicate/concurrent submissions create at most one record; invalid input returns field errors.</x:v>
      </x:c>
      <x:c r="Q19" s="38" t="str">
        <x:v>EV-FB-03 / TC-FB-03</x:v>
      </x:c>
      <x:c r="R19" s="38" t="str">
        <x:v>Requires database uniqueness and integration tests.</x:v>
      </x:c>
    </x:row>
    <x:row r="20" ht="60" customHeight="1">
      <x:c r="A20" s="38" t="n">
        <x:v>16</x:v>
      </x:c>
      <x:c r="B20" s="38" t="str">
        <x:v>FB-04</x:v>
      </x:c>
      <x:c r="C20" s="38" t="str">
        <x:v>Admin Feedback Search / Moderation</x:v>
      </x:c>
      <x:c r="D20" s="38" t="str">
        <x:v>Feedback Management</x:v>
      </x:c>
      <x:c r="E20" s="38" t="str">
        <x:v>Admin Screen / API</x:v>
      </x:c>
      <x:c r="F20" s="38" t="str">
        <x:v>Admin</x:v>
      </x:c>
      <x:c r="G20" s="38" t="str">
        <x:v>Lists feedback with filters and permits controlled moderation status without rewriting the original rating history.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Not Started</x:v>
      </x:c>
      <x:c r="N20" s="38" t="str">
        <x:v>II.14.4</x:v>
      </x:c>
      <x:c r="O20" s="38" t="str">
        <x:v>II.14.4</x:v>
      </x:c>
      <x:c r="P20" s="38" t="str">
        <x:v>Admin can search/filter/review/moderate; non-admin is denied; moderation persists after refresh.</x:v>
      </x:c>
      <x:c r="Q20" s="38" t="str">
        <x:v>EV-FB-04 / TC-FB-04</x:v>
      </x:c>
      <x:c r="R20" s="38" t="str">
        <x:v>No verified moderation API exists.</x:v>
      </x:c>
    </x:row>
    <x:row r="21" ht="60" customHeight="1">
      <x:c r="A21" s="38" t="n">
        <x:v>17</x:v>
      </x:c>
      <x:c r="B21" s="38" t="str">
        <x:v>RPT-01</x:v>
      </x:c>
      <x:c r="C21" s="38" t="str">
        <x:v>Dashboard KPI Aggregation API</x:v>
      </x:c>
      <x:c r="D21" s="38" t="str">
        <x:v>Reporting &amp; Analytics</x:v>
      </x:c>
      <x:c r="E21" s="38" t="str">
        <x:v>Backend Report API</x:v>
      </x:c>
      <x:c r="F21" s="38" t="str">
        <x:v>Admin</x:v>
      </x:c>
      <x:c r="G21" s="38" t="str">
        <x:v>Calculates operational KPIs such as paid revenue, completed orders, active reservations, and customer counts from live data.</x:v>
      </x:c>
      <x:c r="H21" s="38" t="str">
        <x:v>Phan Nguyễn (DE191019)</x:v>
      </x:c>
      <x:c r="I21" s="38" t="str">
        <x:v>Critical</x:v>
      </x:c>
      <x:c r="J21" s="38" t="str">
        <x:v>Complex</x:v>
      </x:c>
      <x:c r="K21" s="38" t="n">
        <x:v>240</x:v>
      </x:c>
      <x:c r="L21" s="38" t="str">
        <x:v>Week 1</x:v>
      </x:c>
      <x:c r="M21" s="38" t="str">
        <x:v>Not Started</x:v>
      </x:c>
      <x:c r="N21" s="38" t="str">
        <x:v>II.15.1</x:v>
      </x:c>
      <x:c r="O21" s="38" t="str">
        <x:v>II.15.1</x:v>
      </x:c>
      <x:c r="P21" s="38" t="str">
        <x:v>API values reconcile with direct SQL for the same period; empty period returns zero/no-data safely.</x:v>
      </x:c>
      <x:c r="Q21" s="38" t="str">
        <x:v>EV-RPT-01 / TC-RPT-01</x:v>
      </x:c>
      <x:c r="R21" s="38" t="str">
        <x:v>Dashboard currently uses static/mock figures.</x:v>
      </x:c>
    </x:row>
    <x:row r="22" ht="60" customHeight="1">
      <x:c r="A22" s="38" t="n">
        <x:v>18</x:v>
      </x:c>
      <x:c r="B22" s="38" t="str">
        <x:v>RPT-02</x:v>
      </x:c>
      <x:c r="C22" s="38" t="str">
        <x:v>Revenue Trend &amp; Date Filter</x:v>
      </x:c>
      <x:c r="D22" s="38" t="str">
        <x:v>Reporting &amp; Analytics</x:v>
      </x:c>
      <x:c r="E22" s="38" t="str">
        <x:v>Backend API / Admin UI</x:v>
      </x:c>
      <x:c r="F22" s="38" t="str">
        <x:v>Admin</x:v>
      </x:c>
      <x:c r="G22" s="38" t="str">
        <x:v>Groups paid revenue by day/month and supports date-range filtering for dashboard charts.</x:v>
      </x:c>
      <x:c r="H22" s="38" t="str">
        <x:v>Phan Nguyễn (DE191019)</x:v>
      </x:c>
      <x:c r="I22" s="38" t="str">
        <x:v>High</x:v>
      </x:c>
      <x:c r="J22" s="38" t="str">
        <x:v>Complex</x:v>
      </x:c>
      <x:c r="K22" s="38" t="n">
        <x:v>240</x:v>
      </x:c>
      <x:c r="L22" s="38" t="str">
        <x:v>Week 1</x:v>
      </x:c>
      <x:c r="M22" s="38" t="str">
        <x:v>Not Started</x:v>
      </x:c>
      <x:c r="N22" s="38" t="str">
        <x:v>II.15.2</x:v>
      </x:c>
      <x:c r="O22" s="38" t="str">
        <x:v>II.15.2</x:v>
      </x:c>
      <x:c r="P22" s="38" t="str">
        <x:v>Chart data matches SQL aggregation; changing date range refreshes correctly; empty ranges render safely.</x:v>
      </x:c>
      <x:c r="Q22" s="38" t="str">
        <x:v>EV-RPT-02 / TC-RPT-02</x:v>
      </x:c>
      <x:c r="R22" s="38" t="str">
        <x:v>Requires payment persistence first.</x:v>
      </x:c>
    </x:row>
    <x:row r="23" ht="60" customHeight="1">
      <x:c r="A23" s="38" t="n">
        <x:v>19</x:v>
      </x:c>
      <x:c r="B23" s="38" t="str">
        <x:v>RPT-03</x:v>
      </x:c>
      <x:c r="C23" s="38" t="str">
        <x:v>Top Food &amp; Order-status Reports</x:v>
      </x:c>
      <x:c r="D23" s="38" t="str">
        <x:v>Reporting &amp; Analytics</x:v>
      </x:c>
      <x:c r="E23" s="38" t="str">
        <x:v>Backend API / Admin UI</x:v>
      </x:c>
      <x:c r="F23" s="38" t="str">
        <x:v>Admin</x:v>
      </x:c>
      <x:c r="G23" s="38" t="str">
        <x:v>Reports top-selling foods and order counts by status using persisted order items and orders.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2</x:v>
      </x:c>
      <x:c r="M23" s="38" t="str">
        <x:v>Not Started</x:v>
      </x:c>
      <x:c r="N23" s="38" t="str">
        <x:v>II.15.3</x:v>
      </x:c>
      <x:c r="O23" s="38" t="str">
        <x:v>II.15.3</x:v>
      </x:c>
      <x:c r="P23" s="38" t="str">
        <x:v>Rankings/counts reconcile with SQL; filters and tie handling are documented; non-admin access is blocked.</x:v>
      </x:c>
      <x:c r="Q23" s="38" t="str">
        <x:v>EV-RPT-03 / TC-RPT-03</x:v>
      </x:c>
      <x:c r="R23" s="38" t="str">
        <x:v>Current charts are mock/static.</x:v>
      </x:c>
    </x:row>
    <x:row r="24" ht="60" customHeight="1">
      <x:c r="A24" s="38" t="n">
        <x:v>20</x:v>
      </x:c>
      <x:c r="B24" s="38" t="str">
        <x:v>RPT-04</x:v>
      </x:c>
      <x:c r="C24" s="38" t="str">
        <x:v>Dashboard Frontend Live-data Integration</x:v>
      </x:c>
      <x:c r="D24" s="38" t="str">
        <x:v>Reporting &amp; Analytics</x:v>
      </x:c>
      <x:c r="E24" s="38" t="str">
        <x:v>Admin UI</x:v>
      </x:c>
      <x:c r="F24" s="38" t="str">
        <x:v>Admin</x:v>
      </x:c>
      <x:c r="G24" s="38" t="str">
        <x:v>Replaces hardcoded dashboard values with secured report API calls, loading states, errors, and no-data states.</x:v>
      </x:c>
      <x:c r="H24" s="38" t="str">
        <x:v>Nguyễn Đức Thương (DE190096)</x:v>
      </x:c>
      <x:c r="I24" s="38" t="str">
        <x:v>Critical</x:v>
      </x:c>
      <x:c r="J24" s="38" t="str">
        <x:v>Complex</x:v>
      </x:c>
      <x:c r="K24" s="38" t="n">
        <x:v>240</x:v>
      </x:c>
      <x:c r="L24" s="38" t="str">
        <x:v>Week 2</x:v>
      </x:c>
      <x:c r="M24" s="38" t="str">
        <x:v>Doing</x:v>
      </x:c>
      <x:c r="N24" s="38" t="str">
        <x:v>II.15.4</x:v>
      </x:c>
      <x:c r="O24" s="38" t="str">
        <x:v>II.15.4</x:v>
      </x:c>
      <x:c r="P24" s="38" t="str">
        <x:v>Network evidence shows real API calls; displayed totals match response/SQL; API failure does not crash page.</x:v>
      </x:c>
      <x:c r="Q24" s="38" t="str">
        <x:v>EV-RPT-04 / TC-RPT-04</x:v>
      </x:c>
      <x:c r="R24" s="38" t="str">
        <x:v>Frontend exists but is not connected to verified database aggregates.</x:v>
      </x:c>
    </x:row>
    <x:row r="25" ht="60" customHeight="1">
      <x:c r="A25" s="38" t="n">
        <x:v>21</x:v>
      </x:c>
      <x:c r="B25" s="38" t="str">
        <x:v>AI-01</x:v>
      </x:c>
      <x:c r="C25" s="38" t="str">
        <x:v>AI Analytics with Controlled Data &amp; Logging</x:v>
      </x:c>
      <x:c r="D25" s="38" t="str">
        <x:v>AI Support</x:v>
      </x:c>
      <x:c r="E25" s="38" t="str">
        <x:v>Admin AI Function</x:v>
      </x:c>
      <x:c r="F25" s="38" t="str">
        <x:v>Admin</x:v>
      </x:c>
      <x:c r="G25" s="38" t="str">
        <x:v>Provides AI-assisted interpretation of selected report data with controlled inputs, advisory output, and audit logging.</x:v>
      </x:c>
      <x:c r="H25" s="38" t="str">
        <x:v>Trần Thanh Gia Huy (DE180571)</x:v>
      </x:c>
      <x:c r="I25" s="38" t="str">
        <x:v>Medium</x:v>
      </x:c>
      <x:c r="J25" s="38" t="str">
        <x:v>Complex</x:v>
      </x:c>
      <x:c r="K25" s="38" t="n">
        <x:v>240</x:v>
      </x:c>
      <x:c r="L25" s="38" t="str">
        <x:v>Week 2</x:v>
      </x:c>
      <x:c r="M25" s="38" t="str">
        <x:v>Done</x:v>
      </x:c>
      <x:c r="N25" s="38" t="str">
        <x:v>II.16.1</x:v>
      </x:c>
      <x:c r="O25" s="38" t="str">
        <x:v>II.16.1</x:v>
      </x:c>
      <x:c r="P25" s="38" t="str">
        <x:v>Authorized admin receives a logged result; failures have safe fallback; output clearly states limitations.</x:v>
      </x:c>
      <x:c r="Q25" s="38" t="str">
        <x:v>EV-AI-01 / TC-AI-01</x:v>
      </x:c>
      <x:c r="R25" s="38" t="str">
        <x:v>Completed with controlled analytics scope.</x:v>
      </x:c>
    </x:row>
    <x:row r="26" ht="60" customHeight="1">
      <x:c r="A26" s="38" t="n">
        <x:v>22</x:v>
      </x:c>
      <x:c r="B26" s="38" t="str">
        <x:v>AI-02</x:v>
      </x:c>
      <x:c r="C26" s="38" t="str">
        <x:v>Customer Chatbot FAQ &amp; Safe Fallback</x:v>
      </x:c>
      <x:c r="D26" s="38" t="str">
        <x:v>AI Support</x:v>
      </x:c>
      <x:c r="E26" s="38" t="str">
        <x:v>Customer AI Function</x:v>
      </x:c>
      <x:c r="F26" s="38" t="str">
        <x:v>Guest, Customer</x:v>
      </x:c>
      <x:c r="G26" s="38" t="str">
        <x:v>Answers common restaurant/menu/reservation/order questions and routes unsupported requests to a safe fallback.</x:v>
      </x:c>
      <x:c r="H26" s="38" t="str">
        <x:v>Trần Thanh Gia Huy (DE180571)</x:v>
      </x:c>
      <x:c r="I26" s="38" t="str">
        <x:v>Medium</x:v>
      </x:c>
      <x:c r="J26" s="38" t="str">
        <x:v>Complex</x:v>
      </x:c>
      <x:c r="K26" s="38" t="n">
        <x:v>240</x:v>
      </x:c>
      <x:c r="L26" s="38" t="str">
        <x:v>Week 2</x:v>
      </x:c>
      <x:c r="M26" s="38" t="str">
        <x:v>Done</x:v>
      </x:c>
      <x:c r="N26" s="38" t="str">
        <x:v>II.16.2</x:v>
      </x:c>
      <x:c r="O26" s="38" t="str">
        <x:v>II.16.2</x:v>
      </x:c>
      <x:c r="P26" s="38" t="str">
        <x:v>FAQ answers are relevant; unsafe/unknown prompts receive fallback; session-aware links do not leak data.</x:v>
      </x:c>
      <x:c r="Q26" s="38" t="str">
        <x:v>EV-AI-02 / TC-AI-02</x:v>
      </x:c>
      <x:c r="R26" s="38" t="str">
        <x:v>Completed.</x:v>
      </x:c>
    </x:row>
  </x:sheetData>
  <x:mergeCells>
    <x:mergeCell ref="A1:R1"/>
    <x:mergeCell ref="A2:R2"/>
    <x:mergeCell ref="A3:R3"/>
  </x:mergeCells>
  <x:conditionalFormatting sqref="M5:M26">
    <x:cfRule type="expression" dxfId="22" priority="1">
      <x:formula>M5="Done"</x:formula>
    </x:cfRule>
    <x:cfRule type="expression" dxfId="23" priority="2">
      <x:formula>M5="Updated"</x:formula>
    </x:cfRule>
    <x:cfRule type="expression" dxfId="24" priority="3">
      <x:formula>M5="Doing"</x:formula>
    </x:cfRule>
    <x:cfRule type="expression" dxfId="25" priority="4">
      <x:formula>M5="Not Started"</x:formula>
    </x:cfRule>
  </x:conditionalFormatting>
  <x:dataValidations count="5">
    <x:dataValidation type="list" sqref="H5:H26">
      <x:formula1>"Phan Nguyễn (DE191019),Phạm Văn Quyết (DE190425),Nguyễn Tiến Lộc (DE190986),Nguyễn Đức Thương (DE190096),Trần Thanh Gia Huy (DE180571)"</x:formula1>
    </x:dataValidation>
    <x:dataValidation type="list" sqref="I5:I26">
      <x:formula1>"Critical,High,Medium,Low"</x:formula1>
    </x:dataValidation>
    <x:dataValidation type="list" sqref="J5:J26">
      <x:formula1>"Simple,Medium,Complex"</x:formula1>
    </x:dataValidation>
    <x:dataValidation type="list" sqref="L5:L26">
      <x:formula1>"Week 1,Week 2"</x:formula1>
    </x:dataValidation>
    <x:dataValidation type="list" sqref="M5:M26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21641f63b646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FINAL EVALUATION READINESS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3" t="str">
        <x:v>Live summary from the Project sheet. Completion is counted only for Done/Updated functions; evidence readiness requires Verified status.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0" t="str">
        <x:v>Total Functions</x:v>
      </x:c>
      <x:c r="B4" s="30" t="str">
        <x:v>Completed (Done + Updated)</x:v>
      </x:c>
      <x:c r="C4" s="30" t="str">
        <x:v>Doing</x:v>
      </x:c>
      <x:c r="D4" s="30" t="str">
        <x:v>Not Started</x:v>
      </x:c>
      <x:c r="E4" s="30" t="str">
        <x:v>Completion %</x:v>
      </x:c>
      <x:c r="F4" s="30" t="str">
        <x:v>Evidence Verified %</x:v>
      </x:c>
      <x:c r="G4" s="30" t="str">
        <x:v>Critical Open Gaps</x:v>
      </x:c>
      <x:c r="H4" s="30" t="str">
        <x:v>Target LOC Band</x:v>
      </x:c>
    </x:row>
    <x:row r="5" ht="30" customHeight="1">
      <x:c r="A5" s="45" t="n">
        <x:f>COUNTA(Project!$B$5:$B$94)</x:f>
        <x:v>90</x:v>
      </x:c>
      <x:c r="B5" s="45" t="n">
        <x:f>COUNTIF(Project!$Q$5:$Q$94,"Done")+COUNTIF(Project!$Q$5:$Q$94,"Updated")</x:f>
        <x:v>60</x:v>
      </x:c>
      <x:c r="C5" s="45" t="n">
        <x:f>COUNTIF(Project!$Q$5:$Q$94,"Doing")</x:f>
        <x:v>11</x:v>
      </x:c>
      <x:c r="D5" s="45" t="n">
        <x:f>COUNTIF(Project!$Q$5:$Q$94,"Not Started")</x:f>
        <x:v>19</x:v>
      </x:c>
      <x:c r="E5" s="50" t="n">
        <x:f>IF(A5=0,0,B5/A5)</x:f>
        <x:v>0.6666666666666666</x:v>
      </x:c>
      <x:c r="F5" s="50" t="n">
        <x:f>IF(A5=0,0,COUNTIF(Project!$V$5:$V$94,"Verified")/A5)</x:f>
        <x:v>0.6666666666666666</x:v>
      </x:c>
      <x:c r="G5" s="45" t="n">
        <x:f>COUNTIFS(Project!$N$5:$N$94,"Critical",Project!$Q$5:$Q$94,"&lt;&gt;Done",Project!$Q$5:$Q$94,"&lt;&gt;Updated")</x:f>
        <x:v>21</x:v>
      </x:c>
      <x:c r="H5" s="45" t="n">
        <x:f>SUM(Project!$P$5:$P$94)</x:f>
        <x:v>18420</x:v>
      </x:c>
    </x:row>
    <x:row r="8">
      <x:c r="A8" s="30" t="str">
        <x:v>Status</x:v>
      </x:c>
      <x:c r="B8" s="30" t="str">
        <x:v>Functions</x:v>
      </x:c>
      <x:c r="D8" s="30" t="str">
        <x:v>Iteration</x:v>
      </x:c>
      <x:c r="E8" s="30" t="str">
        <x:v>Total</x:v>
      </x:c>
      <x:c r="F8" s="30" t="str">
        <x:v>Complete</x:v>
      </x:c>
      <x:c r="G8" s="30" t="str">
        <x:v>Open</x:v>
      </x:c>
    </x:row>
    <x:row r="9">
      <x:c r="A9" s="38" t="str">
        <x:v>Done</x:v>
      </x:c>
      <x:c r="B9" s="38" t="n">
        <x:f>COUNTIF(Project!$Q$5:$Q$94,A9)</x:f>
        <x:v>42</x:v>
      </x:c>
      <x:c r="D9" s="38" t="str">
        <x:v>Iter1</x:v>
      </x:c>
      <x:c r="E9" s="38" t="n">
        <x:f>COUNTIF(Project!$J$5:$J$94,D9)</x:f>
        <x:v>25</x:v>
      </x:c>
      <x:c r="F9" s="38" t="n">
        <x:f>COUNTIFS(Project!$J$5:$J$94,D9,Project!$Q$5:$Q$94,"Done")+COUNTIFS(Project!$J$5:$J$94,D9,Project!$Q$5:$Q$94,"Updated")</x:f>
        <x:v>16</x:v>
      </x:c>
      <x:c r="G9" s="38" t="n">
        <x:f>E9-F9</x:f>
        <x:v>9</x:v>
      </x:c>
    </x:row>
    <x:row r="10">
      <x:c r="A10" s="38" t="str">
        <x:v>Updated</x:v>
      </x:c>
      <x:c r="B10" s="38" t="n">
        <x:f>COUNTIF(Project!$Q$5:$Q$94,A10)</x:f>
        <x:v>18</x:v>
      </x:c>
      <x:c r="D10" s="38" t="str">
        <x:v>Iter2</x:v>
      </x:c>
      <x:c r="E10" s="38" t="n">
        <x:f>COUNTIF(Project!$J$5:$J$94,D10)</x:f>
        <x:v>20</x:v>
      </x:c>
      <x:c r="F10" s="38" t="n">
        <x:f>COUNTIFS(Project!$J$5:$J$94,D10,Project!$Q$5:$Q$94,"Done")+COUNTIFS(Project!$J$5:$J$94,D10,Project!$Q$5:$Q$94,"Updated")</x:f>
        <x:v>20</x:v>
      </x:c>
      <x:c r="G10" s="38" t="n">
        <x:f>E10-F10</x:f>
        <x:v>0</x:v>
      </x:c>
    </x:row>
    <x:row r="11">
      <x:c r="A11" s="38" t="str">
        <x:v>Doing</x:v>
      </x:c>
      <x:c r="B11" s="38" t="n">
        <x:f>COUNTIF(Project!$Q$5:$Q$94,A11)</x:f>
        <x:v>11</x:v>
      </x:c>
      <x:c r="D11" s="38" t="str">
        <x:v>Iter3</x:v>
      </x:c>
      <x:c r="E11" s="38" t="n">
        <x:f>COUNTIF(Project!$J$5:$J$94,D11)</x:f>
        <x:v>23</x:v>
      </x:c>
      <x:c r="F11" s="38" t="n">
        <x:f>COUNTIFS(Project!$J$5:$J$94,D11,Project!$Q$5:$Q$94,"Done")+COUNTIFS(Project!$J$5:$J$94,D11,Project!$Q$5:$Q$94,"Updated")</x:f>
        <x:v>22</x:v>
      </x:c>
      <x:c r="G11" s="38" t="n">
        <x:f>E11-F11</x:f>
        <x:v>1</x:v>
      </x:c>
    </x:row>
    <x:row r="12">
      <x:c r="A12" s="38" t="str">
        <x:v>Not Started</x:v>
      </x:c>
      <x:c r="B12" s="38" t="n">
        <x:f>COUNTIF(Project!$Q$5:$Q$94,A12)</x:f>
        <x:v>19</x:v>
      </x:c>
      <x:c r="D12" s="38" t="str">
        <x:v>Iter4</x:v>
      </x:c>
      <x:c r="E12" s="38" t="n">
        <x:f>COUNTIF(Project!$J$5:$J$94,D12)</x:f>
        <x:v>22</x:v>
      </x:c>
      <x:c r="F12" s="38" t="n">
        <x:f>COUNTIFS(Project!$J$5:$J$94,D12,Project!$Q$5:$Q$94,"Done")+COUNTIFS(Project!$J$5:$J$94,D12,Project!$Q$5:$Q$94,"Updated")</x:f>
        <x:v>2</x:v>
      </x:c>
      <x:c r="G12" s="38" t="n">
        <x:f>E12-F12</x:f>
        <x:v>20</x:v>
      </x:c>
    </x:row>
    <x:row r="15">
      <x:c r="A15" s="30" t="str">
        <x:v>Member</x:v>
      </x:c>
      <x:c r="B15" s="30" t="str">
        <x:v>Total</x:v>
      </x:c>
      <x:c r="C15" s="30" t="str">
        <x:v>Complete</x:v>
      </x:c>
      <x:c r="D15" s="30" t="str">
        <x:v>Open</x:v>
      </x:c>
      <x:c r="E15" s="30" t="str">
        <x:v>Target LOC</x:v>
      </x:c>
      <x:c r="F15" s="30" t="str">
        <x:v>Completion %</x:v>
      </x:c>
    </x:row>
    <x:row r="16">
      <x:c r="A16" s="38" t="str">
        <x:v>Phan Nguyễn (DE191019)</x:v>
      </x:c>
      <x:c r="B16" s="38" t="n">
        <x:f>COUNTIF(Project!$M$5:$M$94,A16)</x:f>
        <x:v>18</x:v>
      </x:c>
      <x:c r="C16" s="38" t="n">
        <x:f>COUNTIFS(Project!$M$5:$M$94,A16,Project!$Q$5:$Q$94,"Done")+COUNTIFS(Project!$M$5:$M$94,A16,Project!$Q$5:$Q$94,"Updated")</x:f>
        <x:v>13</x:v>
      </x:c>
      <x:c r="D16" s="38" t="n">
        <x:f>B16-C16</x:f>
        <x:v>5</x:v>
      </x:c>
      <x:c r="E16" s="38" t="n">
        <x:f>SUMIF(Project!$M$5:$M$94,A16,Project!$P$5:$P$94)</x:f>
        <x:v>3600</x:v>
      </x:c>
      <x:c r="F16" s="52" t="n">
        <x:f>IF(B16=0,0,C16/B16)</x:f>
        <x:v>0.7222222222222222</x:v>
      </x:c>
    </x:row>
    <x:row r="17">
      <x:c r="A17" s="38" t="str">
        <x:v>Phạm Văn Quyết (DE190425)</x:v>
      </x:c>
      <x:c r="B17" s="38" t="n">
        <x:f>COUNTIF(Project!$M$5:$M$94,A17)</x:f>
        <x:v>18</x:v>
      </x:c>
      <x:c r="C17" s="38" t="n">
        <x:f>COUNTIFS(Project!$M$5:$M$94,A17,Project!$Q$5:$Q$94,"Done")+COUNTIFS(Project!$M$5:$M$94,A17,Project!$Q$5:$Q$94,"Updated")</x:f>
        <x:v>11</x:v>
      </x:c>
      <x:c r="D17" s="38" t="n">
        <x:f>B17-C17</x:f>
        <x:v>7</x:v>
      </x:c>
      <x:c r="E17" s="38" t="n">
        <x:f>SUMIF(Project!$M$5:$M$94,A17,Project!$P$5:$P$94)</x:f>
        <x:v>3600</x:v>
      </x:c>
      <x:c r="F17" s="52" t="n">
        <x:f>IF(B17=0,0,C17/B17)</x:f>
        <x:v>0.6111111111111112</x:v>
      </x:c>
    </x:row>
    <x:row r="18">
      <x:c r="A18" s="38" t="str">
        <x:v>Nguyễn Tiến Lộc (DE190986)</x:v>
      </x:c>
      <x:c r="B18" s="38" t="n">
        <x:f>COUNTIF(Project!$M$5:$M$94,A18)</x:f>
        <x:v>18</x:v>
      </x:c>
      <x:c r="C18" s="38" t="n">
        <x:f>COUNTIFS(Project!$M$5:$M$94,A18,Project!$Q$5:$Q$94,"Done")+COUNTIFS(Project!$M$5:$M$94,A18,Project!$Q$5:$Q$94,"Updated")</x:f>
        <x:v>12</x:v>
      </x:c>
      <x:c r="D18" s="38" t="n">
        <x:f>B18-C18</x:f>
        <x:v>6</x:v>
      </x:c>
      <x:c r="E18" s="38" t="n">
        <x:f>SUMIF(Project!$M$5:$M$94,A18,Project!$P$5:$P$94)</x:f>
        <x:v>3780</x:v>
      </x:c>
      <x:c r="F18" s="52" t="n">
        <x:f>IF(B18=0,0,C18/B18)</x:f>
        <x:v>0.6666666666666666</x:v>
      </x:c>
    </x:row>
    <x:row r="19">
      <x:c r="A19" s="38" t="str">
        <x:v>Nguyễn Đức Thương (DE190096)</x:v>
      </x:c>
      <x:c r="B19" s="38" t="n">
        <x:f>COUNTIF(Project!$M$5:$M$94,A19)</x:f>
        <x:v>18</x:v>
      </x:c>
      <x:c r="C19" s="38" t="n">
        <x:f>COUNTIFS(Project!$M$5:$M$94,A19,Project!$Q$5:$Q$94,"Done")+COUNTIFS(Project!$M$5:$M$94,A19,Project!$Q$5:$Q$94,"Updated")</x:f>
        <x:v>12</x:v>
      </x:c>
      <x:c r="D19" s="38" t="n">
        <x:f>B19-C19</x:f>
        <x:v>6</x:v>
      </x:c>
      <x:c r="E19" s="38" t="n">
        <x:f>SUMIF(Project!$M$5:$M$94,A19,Project!$P$5:$P$94)</x:f>
        <x:v>3360</x:v>
      </x:c>
      <x:c r="F19" s="52" t="n">
        <x:f>IF(B19=0,0,C19/B19)</x:f>
        <x:v>0.6666666666666666</x:v>
      </x:c>
    </x:row>
    <x:row r="20">
      <x:c r="A20" s="38" t="str">
        <x:v>Trần Thanh Gia Huy (DE180571)</x:v>
      </x:c>
      <x:c r="B20" s="38" t="n">
        <x:f>COUNTIF(Project!$M$5:$M$94,A20)</x:f>
        <x:v>18</x:v>
      </x:c>
      <x:c r="C20" s="38" t="n">
        <x:f>COUNTIFS(Project!$M$5:$M$94,A20,Project!$Q$5:$Q$94,"Done")+COUNTIFS(Project!$M$5:$M$94,A20,Project!$Q$5:$Q$94,"Updated")</x:f>
        <x:v>12</x:v>
      </x:c>
      <x:c r="D20" s="38" t="n">
        <x:f>B20-C20</x:f>
        <x:v>6</x:v>
      </x:c>
      <x:c r="E20" s="38" t="n">
        <x:f>SUMIF(Project!$M$5:$M$94,A20,Project!$P$5:$P$94)</x:f>
        <x:v>4080</x:v>
      </x:c>
      <x:c r="F20" s="52" t="n">
        <x:f>IF(B20=0,0,C20/B20)</x:f>
        <x:v>0.6666666666666666</x:v>
      </x:c>
    </x:row>
    <x:row r="23">
      <x:c r="A23" s="30" t="str">
        <x:v>Critical Open Work ID</x:v>
      </x:c>
      <x:c r="B23" s="30" t="str">
        <x:v>Function</x:v>
      </x:c>
      <x:c r="C23" s="30" t="str">
        <x:v>Owner</x:v>
      </x:c>
      <x:c r="D23" s="30" t="str">
        <x:v>Status</x:v>
      </x:c>
      <x:c r="E23" s="30" t="str">
        <x:v>Iteration</x:v>
      </x:c>
      <x:c r="F23" s="30" t="str">
        <x:v>Blocking Note</x:v>
      </x:c>
    </x:row>
    <x:row r="24" ht="42" customHeight="1">
      <x:c r="A24" s="38" t="str">
        <x:v>AUTH-04</x:v>
      </x:c>
      <x:c r="B24" s="38" t="str">
        <x:v>JWT Access Token Generation</x:v>
      </x:c>
      <x:c r="C24" s="38" t="str">
        <x:v>Phạm Văn Quyết (DE190425)</x:v>
      </x:c>
      <x:c r="D24" s="38" t="str">
        <x:v>Doing</x:v>
      </x:c>
      <x:c r="E24" s="38" t="str">
        <x:v>Iter1</x:v>
      </x:c>
      <x:c r="F24" s="38" t="str">
        <x:v>Token generation is incomplete and must be finalized before the final release tag.</x:v>
      </x:c>
    </x:row>
    <x:row r="25" ht="42" customHeight="1">
      <x:c r="A25" s="38" t="str">
        <x:v>AUTH-05</x:v>
      </x:c>
      <x:c r="B25" s="38" t="str">
        <x:v>JWT Refresh Token Persistence</x:v>
      </x:c>
      <x:c r="C25" s="38" t="str">
        <x:v>Phạm Văn Quyết (DE190425)</x:v>
      </x:c>
      <x:c r="D25" s="38" t="str">
        <x:v>Not Started</x:v>
      </x:c>
      <x:c r="E25" s="38" t="str">
        <x:v>Iter1</x:v>
      </x:c>
      <x:c r="F25" s="38" t="str">
        <x:v>Required database migration, entity, repository, service, and tests are missing.</x:v>
      </x:c>
    </x:row>
    <x:row r="26" ht="42" customHeight="1">
      <x:c r="A26" s="38" t="str">
        <x:v>AUTH-06</x:v>
      </x:c>
      <x:c r="B26" s="38" t="str">
        <x:v>JWT Authentication Filter</x:v>
      </x:c>
      <x:c r="C26" s="38" t="str">
        <x:v>Phạm Văn Quyết (DE190425)</x:v>
      </x:c>
      <x:c r="D26" s="38" t="str">
        <x:v>Doing</x:v>
      </x:c>
      <x:c r="E26" s="38" t="str">
        <x:v>Iter1</x:v>
      </x:c>
      <x:c r="F26" s="38" t="str">
        <x:v>Filter and integration tests are incomplete.</x:v>
      </x:c>
    </x:row>
    <x:row r="27" ht="42" customHeight="1">
      <x:c r="A27" s="38" t="str">
        <x:v>AUTH-07</x:v>
      </x:c>
      <x:c r="B27" s="38" t="str">
        <x:v>Token Expiry &amp; Invalid Token Handling</x:v>
      </x:c>
      <x:c r="C27" s="38" t="str">
        <x:v>Phạm Văn Quyết (DE190425)</x:v>
      </x:c>
      <x:c r="D27" s="38" t="str">
        <x:v>Doing</x:v>
      </x:c>
      <x:c r="E27" s="38" t="str">
        <x:v>Iter1</x:v>
      </x:c>
      <x:c r="F27" s="38" t="str">
        <x:v>Standard exception mapping remains incomplete.</x:v>
      </x:c>
    </x:row>
    <x:row r="28" ht="42" customHeight="1">
      <x:c r="A28" s="38" t="str">
        <x:v>AUTH-08</x:v>
      </x:c>
      <x:c r="B28" s="38" t="str">
        <x:v>Endpoint Role Authorization Matrix</x:v>
      </x:c>
      <x:c r="C28" s="38" t="str">
        <x:v>Phạm Văn Quyết (DE190425)</x:v>
      </x:c>
      <x:c r="D28" s="38" t="str">
        <x:v>Doing</x:v>
      </x:c>
      <x:c r="E28" s="38" t="str">
        <x:v>Iter1</x:v>
      </x:c>
      <x:c r="F28" s="38" t="str">
        <x:v>SecurityConfig is currently too permissive and needs a complete endpoint matrix.</x:v>
      </x:c>
    </x:row>
    <x:row r="29" ht="42" customHeight="1">
      <x:c r="A29" s="38" t="str">
        <x:v>USER-03</x:v>
      </x:c>
      <x:c r="B29" s="38" t="str">
        <x:v>Admin User List &amp; Search</x:v>
      </x:c>
      <x:c r="C29" s="38" t="str">
        <x:v>Nguyễn Đức Thương (DE190096)</x:v>
      </x:c>
      <x:c r="D29" s="38" t="str">
        <x:v>Doing</x:v>
      </x:c>
      <x:c r="E29" s="38" t="str">
        <x:v>Iter1</x:v>
      </x:c>
      <x:c r="F29" s="38" t="str">
        <x:v>Admin page and backend listing API are incomplete.</x:v>
      </x:c>
    </x:row>
    <x:row r="30" ht="42" customHeight="1">
      <x:c r="A30" s="38" t="str">
        <x:v>USER-04</x:v>
      </x:c>
      <x:c r="B30" s="38" t="str">
        <x:v>Admin Change Role / Lock Account</x:v>
      </x:c>
      <x:c r="C30" s="38" t="str">
        <x:v>Phan Nguyễn (DE191019)</x:v>
      </x:c>
      <x:c r="D30" s="38" t="str">
        <x:v>Not Started</x:v>
      </x:c>
      <x:c r="E30" s="38" t="str">
        <x:v>Iter1</x:v>
      </x:c>
      <x:c r="F30" s="38" t="str">
        <x:v>Role/status APIs, UI actions, audit logging, and regression tests are missing.</x:v>
      </x:c>
    </x:row>
    <x:row r="31" ht="42" customHeight="1">
      <x:c r="A31" s="38" t="str">
        <x:v>ORDER-04</x:v>
      </x:c>
      <x:c r="B31" s="38" t="str">
        <x:v>Recalculate Final Total &amp; Reject Client Manipulation</x:v>
      </x:c>
      <x:c r="C31" s="38" t="str">
        <x:v>Nguyễn Tiến Lộc (DE190986)</x:v>
      </x:c>
      <x:c r="D31" s="38" t="str">
        <x:v>Doing</x:v>
      </x:c>
      <x:c r="E31" s="38" t="str">
        <x:v>Iter3</x:v>
      </x:c>
      <x:c r="F31" s="38" t="str">
        <x:v>Blocked by complete server-side coupon implementation.</x:v>
      </x:c>
    </x:row>
    <x:row r="32" ht="42" customHeight="1">
      <x:c r="A32" s="38" t="str">
        <x:v>COUPON-01</x:v>
      </x:c>
      <x:c r="B32" s="38" t="str">
        <x:v>Coupon Entity &amp; Database Migration</x:v>
      </x:c>
      <x:c r="C32" s="38" t="str">
        <x:v>Trần Thanh Gia Huy (DE180571)</x:v>
      </x:c>
      <x:c r="D32" s="38" t="str">
        <x:v>Not Started</x:v>
      </x:c>
      <x:c r="E32" s="38" t="str">
        <x:v>Iter4</x:v>
      </x:c>
      <x:c r="F32" s="38" t="str">
        <x:v>No verified coupon tables/entities currently exist.</x:v>
      </x:c>
    </x:row>
    <x:row r="33" ht="42" customHeight="1">
      <x:c r="A33" s="38" t="str">
        <x:v>COUPON-02</x:v>
      </x:c>
      <x:c r="B33" s="38" t="str">
        <x:v>Admin Coupon List / Create / Update</x:v>
      </x:c>
      <x:c r="C33" s="38" t="str">
        <x:v>Nguyễn Đức Thương (DE190096)</x:v>
      </x:c>
      <x:c r="D33" s="38" t="str">
        <x:v>Not Started</x:v>
      </x:c>
      <x:c r="E33" s="38" t="str">
        <x:v>Iter4</x:v>
      </x:c>
      <x:c r="F33" s="38" t="str">
        <x:v>Backend and frontend management flows are missing.</x:v>
      </x:c>
    </x:row>
    <x:row r="34" ht="42" customHeight="1">
      <x:c r="A34" s="38" t="str">
        <x:v>COUPON-03</x:v>
      </x:c>
      <x:c r="B34" s="38" t="str">
        <x:v>Coupon Eligibility Validation API</x:v>
      </x:c>
      <x:c r="C34" s="38" t="str">
        <x:v>Trần Thanh Gia Huy (DE180571)</x:v>
      </x:c>
      <x:c r="D34" s="38" t="str">
        <x:v>Not Started</x:v>
      </x:c>
      <x:c r="E34" s="38" t="str">
        <x:v>Iter4</x:v>
      </x:c>
      <x:c r="F34" s="38" t="str">
        <x:v>Required before checkout can be audit-safe.</x:v>
      </x:c>
    </x:row>
    <x:row r="35" ht="42" customHeight="1">
      <x:c r="A35" s="38" t="str">
        <x:v>COUPON-04</x:v>
      </x:c>
      <x:c r="B35" s="38" t="str">
        <x:v>Apply Coupon Server-side to Order</x:v>
      </x:c>
      <x:c r="C35" s="38" t="str">
        <x:v>Nguyễn Tiến Lộc (DE190986)</x:v>
      </x:c>
      <x:c r="D35" s="38" t="str">
        <x:v>Doing</x:v>
      </x:c>
      <x:c r="E35" s="38" t="str">
        <x:v>Iter4</x:v>
      </x:c>
      <x:c r="F35" s="38" t="str">
        <x:v>Current discount behavior is client-side or incomplete.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670778ba7fd4114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0" hidden="0" customWidth="1"/>
    <x:col min="3" max="3" width="11" hidden="0" customWidth="1"/>
    <x:col min="4" max="4" width="13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>
      <x:c r="A1" s="5" t="str">
        <x:v>MEMBER WORKLOAD &amp; FINAL EVALUATION COVERAGE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Each member owns exactly 18 functional units. Target LOC bands are planning/evaluation bands (Simple 60, Medium 120, Complex 240), not a substitute for Git LOC evidence.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0" t="str">
        <x:v>Member</x:v>
      </x:c>
      <x:c r="B4" s="30" t="str">
        <x:v>Project Role</x:v>
      </x:c>
      <x:c r="C4" s="30" t="str">
        <x:v>Total Items</x:v>
      </x:c>
      <x:c r="D4" s="30" t="str">
        <x:v>Done/Updated</x:v>
      </x:c>
      <x:c r="E4" s="30" t="str">
        <x:v>Doing</x:v>
      </x:c>
      <x:c r="F4" s="30" t="str">
        <x:v>Not Started</x:v>
      </x:c>
      <x:c r="G4" s="30" t="str">
        <x:v>Completion %</x:v>
      </x:c>
      <x:c r="H4" s="30" t="str">
        <x:v>Target LOC</x:v>
      </x:c>
      <x:c r="I4" s="30" t="str">
        <x:v>Critical Open</x:v>
      </x:c>
      <x:c r="J4" s="30" t="str">
        <x:v>Evidence Missing</x:v>
      </x:c>
      <x:c r="K4" s="30" t="str">
        <x:v>Iter1</x:v>
      </x:c>
      <x:c r="L4" s="30" t="str">
        <x:v>Iter2</x:v>
      </x:c>
      <x:c r="M4" s="30" t="str">
        <x:v>Iter3</x:v>
      </x:c>
      <x:c r="N4" s="30" t="str">
        <x:v>Iter4</x:v>
      </x:c>
    </x:row>
    <x:row r="5">
      <x:c r="A5" s="38" t="str">
        <x:v>Phan Nguyễn (DE191019)</x:v>
      </x:c>
      <x:c r="B5" s="38" t="str">
        <x:v>Leader / Admin, Menu &amp; Reporting</x:v>
      </x:c>
      <x:c r="C5" s="38" t="n">
        <x:f>COUNTIF(Project!$M$5:$M$94,A5)</x:f>
        <x:v>18</x:v>
      </x:c>
      <x:c r="D5" s="38" t="n">
        <x:f>COUNTIFS(Project!$M$5:$M$94,A5,Project!$Q$5:$Q$94,"Done")+COUNTIFS(Project!$M$5:$M$94,A5,Project!$Q$5:$Q$94,"Updated")</x:f>
        <x:v>13</x:v>
      </x:c>
      <x:c r="E5" s="38" t="n">
        <x:f>COUNTIFS(Project!$M$5:$M$94,A5,Project!$Q$5:$Q$94,"Doing")</x:f>
        <x:v>0</x:v>
      </x:c>
      <x:c r="F5" s="38" t="n">
        <x:f>COUNTIFS(Project!$M$5:$M$94,A5,Project!$Q$5:$Q$94,"Not Started")</x:f>
        <x:v>5</x:v>
      </x:c>
      <x:c r="G5" s="52" t="n">
        <x:f>IF(C5=0,0,D5/C5)</x:f>
        <x:v>0.7222222222222222</x:v>
      </x:c>
      <x:c r="H5" s="38" t="n">
        <x:f>SUMIF(Project!$M$5:$M$94,A5,Project!$P$5:$P$94)</x:f>
        <x:v>3600</x:v>
      </x:c>
      <x:c r="I5" s="38" t="n">
        <x:f>COUNTIFS(Project!$M$5:$M$94,A5,Project!$N$5:$N$94,"Critical",Project!$Q$5:$Q$94,"&lt;&gt;Done",Project!$Q$5:$Q$94,"&lt;&gt;Updated")</x:f>
        <x:v>2</x:v>
      </x:c>
      <x:c r="J5" s="38" t="n">
        <x:f>COUNTIFS(Project!$M$5:$M$94,A5,Project!$V$5:$V$94,"Missing")</x:f>
        <x:v>5</x:v>
      </x:c>
      <x:c r="K5" s="38" t="n">
        <x:f>COUNTIFS(Project!$M$5:$M$94,A5,Project!$J$5:$J$94,"Iter1")</x:f>
        <x:v>10</x:v>
      </x:c>
      <x:c r="L5" s="38" t="n">
        <x:f>COUNTIFS(Project!$M$5:$M$94,A5,Project!$J$5:$J$94,"Iter2")</x:f>
        <x:v>2</x:v>
      </x:c>
      <x:c r="M5" s="38" t="n">
        <x:f>COUNTIFS(Project!$M$5:$M$94,A5,Project!$J$5:$J$94,"Iter3")</x:f>
        <x:v>2</x:v>
      </x:c>
      <x:c r="N5" s="38" t="n">
        <x:f>COUNTIFS(Project!$M$5:$M$94,A5,Project!$J$5:$J$94,"Iter4")</x:f>
        <x:v>4</x:v>
      </x:c>
    </x:row>
    <x:row r="6">
      <x:c r="A6" s="38" t="str">
        <x:v>Phạm Văn Quyết (DE190425)</x:v>
      </x:c>
      <x:c r="B6" s="38" t="str">
        <x:v>Backend &amp; Security Lead</x:v>
      </x:c>
      <x:c r="C6" s="38" t="n">
        <x:f>COUNTIF(Project!$M$5:$M$94,A6)</x:f>
        <x:v>18</x:v>
      </x:c>
      <x:c r="D6" s="38" t="n">
        <x:f>COUNTIFS(Project!$M$5:$M$94,A6,Project!$Q$5:$Q$94,"Done")+COUNTIFS(Project!$M$5:$M$94,A6,Project!$Q$5:$Q$94,"Updated")</x:f>
        <x:v>11</x:v>
      </x:c>
      <x:c r="E6" s="38" t="n">
        <x:f>COUNTIFS(Project!$M$5:$M$94,A6,Project!$Q$5:$Q$94,"Doing")</x:f>
        <x:v>4</x:v>
      </x:c>
      <x:c r="F6" s="38" t="n">
        <x:f>COUNTIFS(Project!$M$5:$M$94,A6,Project!$Q$5:$Q$94,"Not Started")</x:f>
        <x:v>3</x:v>
      </x:c>
      <x:c r="G6" s="52" t="n">
        <x:f>IF(C6=0,0,D6/C6)</x:f>
        <x:v>0.6111111111111112</x:v>
      </x:c>
      <x:c r="H6" s="38" t="n">
        <x:f>SUMIF(Project!$M$5:$M$94,A6,Project!$P$5:$P$94)</x:f>
        <x:v>3600</x:v>
      </x:c>
      <x:c r="I6" s="38" t="n">
        <x:f>COUNTIFS(Project!$M$5:$M$94,A6,Project!$N$5:$N$94,"Critical",Project!$Q$5:$Q$94,"&lt;&gt;Done",Project!$Q$5:$Q$94,"&lt;&gt;Updated")</x:f>
        <x:v>6</x:v>
      </x:c>
      <x:c r="J6" s="38" t="n">
        <x:f>COUNTIFS(Project!$M$5:$M$94,A6,Project!$V$5:$V$94,"Missing")</x:f>
        <x:v>3</x:v>
      </x:c>
      <x:c r="K6" s="38" t="n">
        <x:f>COUNTIFS(Project!$M$5:$M$94,A6,Project!$J$5:$J$94,"Iter1")</x:f>
        <x:v>9</x:v>
      </x:c>
      <x:c r="L6" s="38" t="n">
        <x:f>COUNTIFS(Project!$M$5:$M$94,A6,Project!$J$5:$J$94,"Iter2")</x:f>
        <x:v>6</x:v>
      </x:c>
      <x:c r="M6" s="38" t="n">
        <x:f>COUNTIFS(Project!$M$5:$M$94,A6,Project!$J$5:$J$94,"Iter3")</x:f>
        <x:v>2</x:v>
      </x:c>
      <x:c r="N6" s="38" t="n">
        <x:f>COUNTIFS(Project!$M$5:$M$94,A6,Project!$J$5:$J$94,"Iter4")</x:f>
        <x:v>1</x:v>
      </x:c>
    </x:row>
    <x:row r="7">
      <x:c r="A7" s="38" t="str">
        <x:v>Nguyễn Tiến Lộc (DE190986)</x:v>
      </x:c>
      <x:c r="B7" s="38" t="str">
        <x:v>Order, Kitchen &amp; Transaction Flow</x:v>
      </x:c>
      <x:c r="C7" s="38" t="n">
        <x:f>COUNTIF(Project!$M$5:$M$94,A7)</x:f>
        <x:v>18</x:v>
      </x:c>
      <x:c r="D7" s="38" t="n">
        <x:f>COUNTIFS(Project!$M$5:$M$94,A7,Project!$Q$5:$Q$94,"Done")+COUNTIFS(Project!$M$5:$M$94,A7,Project!$Q$5:$Q$94,"Updated")</x:f>
        <x:v>12</x:v>
      </x:c>
      <x:c r="E7" s="38" t="n">
        <x:f>COUNTIFS(Project!$M$5:$M$94,A7,Project!$Q$5:$Q$94,"Doing")</x:f>
        <x:v>2</x:v>
      </x:c>
      <x:c r="F7" s="38" t="n">
        <x:f>COUNTIFS(Project!$M$5:$M$94,A7,Project!$Q$5:$Q$94,"Not Started")</x:f>
        <x:v>4</x:v>
      </x:c>
      <x:c r="G7" s="52" t="n">
        <x:f>IF(C7=0,0,D7/C7)</x:f>
        <x:v>0.6666666666666666</x:v>
      </x:c>
      <x:c r="H7" s="38" t="n">
        <x:f>SUMIF(Project!$M$5:$M$94,A7,Project!$P$5:$P$94)</x:f>
        <x:v>3780</x:v>
      </x:c>
      <x:c r="I7" s="38" t="n">
        <x:f>COUNTIFS(Project!$M$5:$M$94,A7,Project!$N$5:$N$94,"Critical",Project!$Q$5:$Q$94,"&lt;&gt;Done",Project!$Q$5:$Q$94,"&lt;&gt;Updated")</x:f>
        <x:v>5</x:v>
      </x:c>
      <x:c r="J7" s="38" t="n">
        <x:f>COUNTIFS(Project!$M$5:$M$94,A7,Project!$V$5:$V$94,"Missing")</x:f>
        <x:v>4</x:v>
      </x:c>
      <x:c r="K7" s="38" t="n">
        <x:f>COUNTIFS(Project!$M$5:$M$94,A7,Project!$J$5:$J$94,"Iter1")</x:f>
        <x:v>0</x:v>
      </x:c>
      <x:c r="L7" s="38" t="n">
        <x:f>COUNTIFS(Project!$M$5:$M$94,A7,Project!$J$5:$J$94,"Iter2")</x:f>
        <x:v>0</x:v>
      </x:c>
      <x:c r="M7" s="38" t="n">
        <x:f>COUNTIFS(Project!$M$5:$M$94,A7,Project!$J$5:$J$94,"Iter3")</x:f>
        <x:v>13</x:v>
      </x:c>
      <x:c r="N7" s="38" t="n">
        <x:f>COUNTIFS(Project!$M$5:$M$94,A7,Project!$J$5:$J$94,"Iter4")</x:f>
        <x:v>5</x:v>
      </x:c>
    </x:row>
    <x:row r="8">
      <x:c r="A8" s="38" t="str">
        <x:v>Nguyễn Đức Thương (DE190096)</x:v>
      </x:c>
      <x:c r="B8" s="38" t="str">
        <x:v>Frontend Lead / Customer UX</x:v>
      </x:c>
      <x:c r="C8" s="38" t="n">
        <x:f>COUNTIF(Project!$M$5:$M$94,A8)</x:f>
        <x:v>18</x:v>
      </x:c>
      <x:c r="D8" s="38" t="n">
        <x:f>COUNTIFS(Project!$M$5:$M$94,A8,Project!$Q$5:$Q$94,"Done")+COUNTIFS(Project!$M$5:$M$94,A8,Project!$Q$5:$Q$94,"Updated")</x:f>
        <x:v>12</x:v>
      </x:c>
      <x:c r="E8" s="38" t="n">
        <x:f>COUNTIFS(Project!$M$5:$M$94,A8,Project!$Q$5:$Q$94,"Doing")</x:f>
        <x:v>5</x:v>
      </x:c>
      <x:c r="F8" s="38" t="n">
        <x:f>COUNTIFS(Project!$M$5:$M$94,A8,Project!$Q$5:$Q$94,"Not Started")</x:f>
        <x:v>1</x:v>
      </x:c>
      <x:c r="G8" s="52" t="n">
        <x:f>IF(C8=0,0,D8/C8)</x:f>
        <x:v>0.6666666666666666</x:v>
      </x:c>
      <x:c r="H8" s="38" t="n">
        <x:f>SUMIF(Project!$M$5:$M$94,A8,Project!$P$5:$P$94)</x:f>
        <x:v>3360</x:v>
      </x:c>
      <x:c r="I8" s="38" t="n">
        <x:f>COUNTIFS(Project!$M$5:$M$94,A8,Project!$N$5:$N$94,"Critical",Project!$Q$5:$Q$94,"&lt;&gt;Done",Project!$Q$5:$Q$94,"&lt;&gt;Updated")</x:f>
        <x:v>3</x:v>
      </x:c>
      <x:c r="J8" s="38" t="n">
        <x:f>COUNTIFS(Project!$M$5:$M$94,A8,Project!$V$5:$V$94,"Missing")</x:f>
        <x:v>1</x:v>
      </x:c>
      <x:c r="K8" s="38" t="n">
        <x:f>COUNTIFS(Project!$M$5:$M$94,A8,Project!$J$5:$J$94,"Iter1")</x:f>
        <x:v>6</x:v>
      </x:c>
      <x:c r="L8" s="38" t="n">
        <x:f>COUNTIFS(Project!$M$5:$M$94,A8,Project!$J$5:$J$94,"Iter2")</x:f>
        <x:v>4</x:v>
      </x:c>
      <x:c r="M8" s="38" t="n">
        <x:f>COUNTIFS(Project!$M$5:$M$94,A8,Project!$J$5:$J$94,"Iter3")</x:f>
        <x:v>4</x:v>
      </x:c>
      <x:c r="N8" s="38" t="n">
        <x:f>COUNTIFS(Project!$M$5:$M$94,A8,Project!$J$5:$J$94,"Iter4")</x:f>
        <x:v>4</x:v>
      </x:c>
    </x:row>
    <x:row r="9">
      <x:c r="A9" s="38" t="str">
        <x:v>Trần Thanh Gia Huy (DE180571)</x:v>
      </x:c>
      <x:c r="B9" s="38" t="str">
        <x:v>Integration, Coupon, AI &amp; Quality Support</x:v>
      </x:c>
      <x:c r="C9" s="38" t="n">
        <x:f>COUNTIF(Project!$M$5:$M$94,A9)</x:f>
        <x:v>18</x:v>
      </x:c>
      <x:c r="D9" s="38" t="n">
        <x:f>COUNTIFS(Project!$M$5:$M$94,A9,Project!$Q$5:$Q$94,"Done")+COUNTIFS(Project!$M$5:$M$94,A9,Project!$Q$5:$Q$94,"Updated")</x:f>
        <x:v>12</x:v>
      </x:c>
      <x:c r="E9" s="38" t="n">
        <x:f>COUNTIFS(Project!$M$5:$M$94,A9,Project!$Q$5:$Q$94,"Doing")</x:f>
        <x:v>0</x:v>
      </x:c>
      <x:c r="F9" s="38" t="n">
        <x:f>COUNTIFS(Project!$M$5:$M$94,A9,Project!$Q$5:$Q$94,"Not Started")</x:f>
        <x:v>6</x:v>
      </x:c>
      <x:c r="G9" s="52" t="n">
        <x:f>IF(C9=0,0,D9/C9)</x:f>
        <x:v>0.6666666666666666</x:v>
      </x:c>
      <x:c r="H9" s="38" t="n">
        <x:f>SUMIF(Project!$M$5:$M$94,A9,Project!$P$5:$P$94)</x:f>
        <x:v>4080</x:v>
      </x:c>
      <x:c r="I9" s="38" t="n">
        <x:f>COUNTIFS(Project!$M$5:$M$94,A9,Project!$N$5:$N$94,"Critical",Project!$Q$5:$Q$94,"&lt;&gt;Done",Project!$Q$5:$Q$94,"&lt;&gt;Updated")</x:f>
        <x:v>5</x:v>
      </x:c>
      <x:c r="J9" s="38" t="n">
        <x:f>COUNTIFS(Project!$M$5:$M$94,A9,Project!$V$5:$V$94,"Missing")</x:f>
        <x:v>6</x:v>
      </x:c>
      <x:c r="K9" s="38" t="n">
        <x:f>COUNTIFS(Project!$M$5:$M$94,A9,Project!$J$5:$J$94,"Iter1")</x:f>
        <x:v>0</x:v>
      </x:c>
      <x:c r="L9" s="38" t="n">
        <x:f>COUNTIFS(Project!$M$5:$M$94,A9,Project!$J$5:$J$94,"Iter2")</x:f>
        <x:v>8</x:v>
      </x:c>
      <x:c r="M9" s="38" t="n">
        <x:f>COUNTIFS(Project!$M$5:$M$94,A9,Project!$J$5:$J$94,"Iter3")</x:f>
        <x:v>2</x:v>
      </x:c>
      <x:c r="N9" s="38" t="n">
        <x:f>COUNTIFS(Project!$M$5:$M$94,A9,Project!$J$5:$J$94,"Iter4")</x:f>
        <x:v>8</x:v>
      </x:c>
    </x:row>
    <x:row r="12">
      <x:c r="A12" s="30" t="str">
        <x:v>Workload Interpretation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3">
      <x:c r="A13" s="54" t="str">
        <x:v>Rule 1</x:v>
      </x:c>
      <x:c r="B13" s="38" t="str">
        <x:v>Every member has 18 owned functional units across the semester, preventing a sparse or one-sided contribution record.</x:v>
      </x:c>
    </x:row>
    <x:row r="14">
      <x:c r="A14" s="54" t="str">
        <x:v>Rule 2</x:v>
      </x:c>
      <x:c r="B14" s="38" t="str">
        <x:v>Target LOC is a planning band. Final scoring evidence must come from Git contribution, code quality, and verified completed functions.</x:v>
      </x:c>
    </x:row>
    <x:row r="15">
      <x:c r="A15" s="54" t="str">
        <x:v>Rule 3</x:v>
      </x:c>
      <x:c r="B15" s="38" t="str">
        <x:v>Backend/security/transaction work naturally carries more Complex items; frontend work must still include API integration, validation, error handling, and test evidence.</x:v>
      </x:c>
    </x:row>
    <x:row r="16">
      <x:c r="A16" s="54" t="str">
        <x:v>Rule 4</x:v>
      </x:c>
      <x:c r="B16" s="38" t="str">
        <x:v>A member's row is not Final-ready while Critical Open or Evidence Missing is greater than zero.</x:v>
      </x:c>
    </x:row>
  </x:sheetData>
  <x:mergeCells>
    <x:mergeCell ref="A1:N1"/>
    <x:mergeCell ref="A2:N2"/>
    <x:mergeCell ref="A12:N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4" hidden="0" customWidth="1"/>
    <x:col min="4" max="4" width="40" hidden="0" customWidth="1"/>
    <x:col min="5" max="5" width="44" hidden="0" customWidth="1"/>
    <x:col min="6" max="6" width="27" hidden="0" customWidth="1"/>
    <x:col min="7" max="7" width="10" hidden="0" customWidth="1"/>
    <x:col min="8" max="8" width="12" hidden="0" customWidth="1"/>
    <x:col min="9" max="9" width="42" hidden="0" customWidth="1"/>
    <x:col min="10" max="10" width="42" hidden="0" customWidth="1"/>
    <x:col min="11" max="11" width="32" hidden="0" customWidth="1"/>
    <x:col min="12" max="12" width="22" hidden="0" customWidth="1"/>
    <x:col min="13" max="13" width="14" hidden="0" customWidth="1"/>
  </x:cols>
  <x:sheetData>
    <x:row r="1">
      <x:c r="A1" s="5" t="str">
        <x:v>DETAILED CODE-AUDIT GAP ANALYSIS &amp; FINAL CLOSURE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Every Doing/Not Started function is listed as a concrete closure item. Close a gap only after acceptance criteria and evidence are verified.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30" t="str">
        <x:v>Gap ID</x:v>
      </x:c>
      <x:c r="B4" s="30" t="str">
        <x:v>Work ID</x:v>
      </x:c>
      <x:c r="C4" s="30" t="str">
        <x:v>Workstream</x:v>
      </x:c>
      <x:c r="D4" s="30" t="str">
        <x:v>Code-audit Finding</x:v>
      </x:c>
      <x:c r="E4" s="30" t="str">
        <x:v>Required Closure Action</x:v>
      </x:c>
      <x:c r="F4" s="30" t="str">
        <x:v>Owner</x:v>
      </x:c>
      <x:c r="G4" s="30" t="str">
        <x:v>Priority</x:v>
      </x:c>
      <x:c r="H4" s="30" t="str">
        <x:v>Status</x:v>
      </x:c>
      <x:c r="I4" s="30" t="str">
        <x:v>Acceptance Criteria</x:v>
      </x:c>
      <x:c r="J4" s="30" t="str">
        <x:v>Evidence Required</x:v>
      </x:c>
      <x:c r="K4" s="30" t="str">
        <x:v>Blocking Impact</x:v>
      </x:c>
      <x:c r="L4" s="30" t="str">
        <x:v>Target</x:v>
      </x:c>
      <x:c r="M4" s="30" t="str">
        <x:v>Evidence State</x:v>
      </x:c>
    </x:row>
    <x:row r="5" ht="68" customHeight="1">
      <x:c r="A5" s="38" t="str">
        <x:v>GAP-01</x:v>
      </x:c>
      <x:c r="B5" s="38" t="str">
        <x:v>AUTH-04</x:v>
      </x:c>
      <x:c r="C5" s="38" t="str">
        <x:v>Authentication &amp; Security</x:v>
      </x:c>
      <x:c r="D5" s="38" t="str">
        <x:v>Token generation is incomplete and must be finalized before the final release tag.</x:v>
      </x:c>
      <x:c r="E5" s="38" t="str">
        <x:v>Complete creates a signed access token containing the user identity, role claims, issue time, and expiration after successful authentication. Then execute positive, validation, authorization, and persistence tests.</x:v>
      </x:c>
      <x:c r="F5" s="38" t="str">
        <x:v>Phạm Văn Quyết (DE190425)</x:v>
      </x:c>
      <x:c r="G5" s="38" t="str">
        <x:v>Critical</x:v>
      </x:c>
      <x:c r="H5" s="38" t="str">
        <x:v>Doing</x:v>
      </x:c>
      <x:c r="I5" s="38" t="str">
        <x:v>A valid login returns a signed token; signature and expiration can be verified; tampered tokens are rejected.</x:v>
      </x:c>
      <x:c r="J5" s="38" t="str">
        <x:v>EV-AUTH-04: commit/PR or tag; TC-AUTH-04: unit/integration/Postman result; UI screenshot; database proof; SRS/SDS update.</x:v>
      </x:c>
      <x:c r="K5" s="38" t="str">
        <x:v>Blocks secure release and invalidates role-protected API claims.</x:v>
      </x:c>
      <x:c r="L5" s="38" t="str">
        <x:v>Before Final Release Tag</x:v>
      </x:c>
      <x:c r="M5" s="38" t="str">
        <x:v>Partial</x:v>
      </x:c>
    </x:row>
    <x:row r="6" ht="68" customHeight="1">
      <x:c r="A6" s="38" t="str">
        <x:v>GAP-02</x:v>
      </x:c>
      <x:c r="B6" s="38" t="str">
        <x:v>AUTH-05</x:v>
      </x:c>
      <x:c r="C6" s="38" t="str">
        <x:v>Authentication &amp; Security</x:v>
      </x:c>
      <x:c r="D6" s="38" t="str">
        <x:v>Required database migration, entity, repository, service, and tests are missing.</x:v>
      </x:c>
      <x:c r="E6" s="38" t="str">
        <x:v>Complete stores refresh-token hashes and lifecycle metadata so an expired access token can be renewed without re-entering credentials. Then execute positive, validation, authorization, and persistence tests.</x:v>
      </x:c>
      <x:c r="F6" s="38" t="str">
        <x:v>Phạm Văn Quyết (DE190425)</x:v>
      </x:c>
      <x:c r="G6" s="38" t="str">
        <x:v>Critical</x:v>
      </x:c>
      <x:c r="H6" s="38" t="str">
        <x:v>Not Started</x:v>
      </x:c>
      <x:c r="I6" s="38" t="str">
        <x:v>Valid refresh creates a new access token; expired/revoked/reused tokens fail; raw refresh tokens are not persisted.</x:v>
      </x:c>
      <x:c r="J6" s="38" t="str">
        <x:v>EV-AUTH-05: commit/PR or tag; TC-AUTH-05: unit/integration/Postman result; UI screenshot; database proof; SRS/SDS update.</x:v>
      </x:c>
      <x:c r="K6" s="38" t="str">
        <x:v>Blocks secure release and invalidates role-protected API claims.</x:v>
      </x:c>
      <x:c r="L6" s="38" t="str">
        <x:v>Before Final Release Tag</x:v>
      </x:c>
      <x:c r="M6" s="38" t="str">
        <x:v>Missing</x:v>
      </x:c>
    </x:row>
    <x:row r="7" ht="68" customHeight="1">
      <x:c r="A7" s="38" t="str">
        <x:v>GAP-03</x:v>
      </x:c>
      <x:c r="B7" s="38" t="str">
        <x:v>AUTH-06</x:v>
      </x:c>
      <x:c r="C7" s="38" t="str">
        <x:v>Authentication &amp; Security</x:v>
      </x:c>
      <x:c r="D7" s="38" t="str">
        <x:v>Filter and integration tests are incomplete.</x:v>
      </x:c>
      <x:c r="E7" s="38" t="str">
        <x:v>Complete reads the bearer token on every protected request, validates it, and populates the authenticated security context. Then execute positive, validation, authorization, and persistence tests.</x:v>
      </x:c>
      <x:c r="F7" s="38" t="str">
        <x:v>Phạm Văn Quyết (DE190425)</x:v>
      </x:c>
      <x:c r="G7" s="38" t="str">
        <x:v>Critical</x:v>
      </x:c>
      <x:c r="H7" s="38" t="str">
        <x:v>Doing</x:v>
      </x:c>
      <x:c r="I7" s="38" t="str">
        <x:v>Protected requests with valid tokens reach controllers; missing/invalid/expired tokens return 401; public routes remain accessible.</x:v>
      </x:c>
      <x:c r="J7" s="38" t="str">
        <x:v>EV-AUTH-06: commit/PR or tag; TC-AUTH-06: unit/integration/Postman result; UI screenshot; database proof; SRS/SDS update.</x:v>
      </x:c>
      <x:c r="K7" s="38" t="str">
        <x:v>Blocks secure release and invalidates role-protected API claims.</x:v>
      </x:c>
      <x:c r="L7" s="38" t="str">
        <x:v>Before Final Release Tag</x:v>
      </x:c>
      <x:c r="M7" s="38" t="str">
        <x:v>Partial</x:v>
      </x:c>
    </x:row>
    <x:row r="8" ht="68" customHeight="1">
      <x:c r="A8" s="38" t="str">
        <x:v>GAP-04</x:v>
      </x:c>
      <x:c r="B8" s="38" t="str">
        <x:v>AUTH-07</x:v>
      </x:c>
      <x:c r="C8" s="38" t="str">
        <x:v>Authentication &amp; Security</x:v>
      </x:c>
      <x:c r="D8" s="38" t="str">
        <x:v>Standard exception mapping remains incomplete.</x:v>
      </x:c>
      <x:c r="E8" s="38" t="str">
        <x:v>Complete returns consistent error responses for expired, malformed, unsupported, or incorrectly signed tokens. Then execute positive, validation, authorization, and persistence tests.</x:v>
      </x:c>
      <x:c r="F8" s="38" t="str">
        <x:v>Phạm Văn Quyết (DE190425)</x:v>
      </x:c>
      <x:c r="G8" s="38" t="str">
        <x:v>Critical</x:v>
      </x:c>
      <x:c r="H8" s="38" t="str">
        <x:v>Doing</x:v>
      </x:c>
      <x:c r="I8" s="38" t="str">
        <x:v>Each invalid-token scenario returns the expected HTTP status and message; frontend can distinguish expiry from authorization failure.</x:v>
      </x:c>
      <x:c r="J8" s="38" t="str">
        <x:v>EV-AUTH-07: commit/PR or tag; TC-AUTH-07: unit/integration/Postman result; UI screenshot; database proof; SRS/SDS update.</x:v>
      </x:c>
      <x:c r="K8" s="38" t="str">
        <x:v>Blocks secure release and invalidates role-protected API claims.</x:v>
      </x:c>
      <x:c r="L8" s="38" t="str">
        <x:v>Before Final Release Tag</x:v>
      </x:c>
      <x:c r="M8" s="38" t="str">
        <x:v>Partial</x:v>
      </x:c>
    </x:row>
    <x:row r="9" ht="68" customHeight="1">
      <x:c r="A9" s="38" t="str">
        <x:v>GAP-05</x:v>
      </x:c>
      <x:c r="B9" s="38" t="str">
        <x:v>AUTH-08</x:v>
      </x:c>
      <x:c r="C9" s="38" t="str">
        <x:v>Authentication &amp; Security</x:v>
      </x:c>
      <x:c r="D9" s="38" t="str">
        <x:v>SecurityConfig is currently too permissive and needs a complete endpoint matrix.</x:v>
      </x:c>
      <x:c r="E9" s="38" t="str">
        <x:v>Complete defines explicit access rules for all protected API groups and matches them with frontend role navigation. Then execute positive, validation, authorization, and persistence tests.</x:v>
      </x:c>
      <x:c r="F9" s="38" t="str">
        <x:v>Phạm Văn Quyết (DE190425)</x:v>
      </x:c>
      <x:c r="G9" s="38" t="str">
        <x:v>Critical</x:v>
      </x:c>
      <x:c r="H9" s="38" t="str">
        <x:v>Doing</x:v>
      </x:c>
      <x:c r="I9" s="38" t="str">
        <x:v>Authorization tests prove 401 for unauthenticated and 403 for wrong-role requests across representative endpoints.</x:v>
      </x:c>
      <x:c r="J9" s="38" t="str">
        <x:v>EV-AUTH-08: commit/PR or tag; TC-AUTH-08: unit/integration/Postman result; UI screenshot; database proof; SRS/SDS update.</x:v>
      </x:c>
      <x:c r="K9" s="38" t="str">
        <x:v>Blocks secure release and invalidates role-protected API claims.</x:v>
      </x:c>
      <x:c r="L9" s="38" t="str">
        <x:v>Before Final Release Tag</x:v>
      </x:c>
      <x:c r="M9" s="38" t="str">
        <x:v>Partial</x:v>
      </x:c>
    </x:row>
    <x:row r="10" ht="68" customHeight="1">
      <x:c r="A10" s="38" t="str">
        <x:v>GAP-06</x:v>
      </x:c>
      <x:c r="B10" s="38" t="str">
        <x:v>AUTH-09</x:v>
      </x:c>
      <x:c r="C10" s="38" t="str">
        <x:v>Authentication &amp; Security</x:v>
      </x:c>
      <x:c r="D10" s="38" t="str">
        <x:v>Must align with the global API response convention.</x:v>
      </x:c>
      <x:c r="E10" s="38" t="str">
        <x:v>Complete converts authentication and authorization failures into predictable JSON responses consumed by the frontend. Then execute positive, validation, authorization, and persistence tests.</x:v>
      </x:c>
      <x:c r="F10" s="38" t="str">
        <x:v>Nguyễn Đức Thương (DE190096)</x:v>
      </x:c>
      <x:c r="G10" s="38" t="str">
        <x:v>High</x:v>
      </x:c>
      <x:c r="H10" s="38" t="str">
        <x:v>Doing</x:v>
      </x:c>
      <x:c r="I10" s="38" t="str">
        <x:v>Frontend receives stable error codes/messages; no HTML error page is returned by secured APIs; tests cover both statuses.</x:v>
      </x:c>
      <x:c r="J10" s="38" t="str">
        <x:v>EV-AUTH-09: commit/PR or tag; TC-AUTH-09: unit/integration/Postman result; UI screenshot; database proof; SRS/SDS update.</x:v>
      </x:c>
      <x:c r="K10" s="38" t="str">
        <x:v>Blocks secure release and invalidates role-protected API claims.</x:v>
      </x:c>
      <x:c r="L10" s="38" t="str">
        <x:v>Before Final Release Tag</x:v>
      </x:c>
      <x:c r="M10" s="38" t="str">
        <x:v>Partial</x:v>
      </x:c>
    </x:row>
    <x:row r="11" ht="68" customHeight="1">
      <x:c r="A11" s="38" t="str">
        <x:v>GAP-07</x:v>
      </x:c>
      <x:c r="B11" s="38" t="str">
        <x:v>AUTH-10</x:v>
      </x:c>
      <x:c r="C11" s="38" t="str">
        <x:v>Authentication &amp; Security</x:v>
      </x:c>
      <x:c r="D11" s="38" t="str">
        <x:v>Depends on refresh-token persistence.</x:v>
      </x:c>
      <x:c r="E11" s="38" t="str">
        <x:v>Complete ends an authenticated session by revoking the current refresh token and clearing client authentication state. Then execute positive, validation, authorization, and persistence tests.</x:v>
      </x:c>
      <x:c r="F11" s="38" t="str">
        <x:v>Phạm Văn Quyết (DE190425)</x:v>
      </x:c>
      <x:c r="G11" s="38" t="str">
        <x:v>High</x:v>
      </x:c>
      <x:c r="H11" s="38" t="str">
        <x:v>Not Started</x:v>
      </x:c>
      <x:c r="I11" s="38" t="str">
        <x:v>After logout, refresh fails and protected requests require a new login; repeated logout requests do not create errors.</x:v>
      </x:c>
      <x:c r="J11" s="38" t="str">
        <x:v>EV-AUTH-10: commit/PR or tag; TC-AUTH-10: unit/integration/Postman result; UI screenshot; database proof; SRS/SDS update.</x:v>
      </x:c>
      <x:c r="K11" s="38" t="str">
        <x:v>Blocks secure release and invalidates role-protected API claims.</x:v>
      </x:c>
      <x:c r="L11" s="38" t="str">
        <x:v>Before Final Release Tag</x:v>
      </x:c>
      <x:c r="M11" s="38" t="str">
        <x:v>Missing</x:v>
      </x:c>
    </x:row>
    <x:row r="12" ht="68" customHeight="1">
      <x:c r="A12" s="38" t="str">
        <x:v>GAP-08</x:v>
      </x:c>
      <x:c r="B12" s="38" t="str">
        <x:v>USER-03</x:v>
      </x:c>
      <x:c r="C12" s="38" t="str">
        <x:v>User Management</x:v>
      </x:c>
      <x:c r="D12" s="38" t="str">
        <x:v>Admin page and backend listing API are incomplete.</x:v>
      </x:c>
      <x:c r="E12" s="38" t="str">
        <x:v>Complete provides paginated account listing with search and filters by role and account status. Then execute positive, validation, authorization, and persistence tests.</x:v>
      </x:c>
      <x:c r="F12" s="38" t="str">
        <x:v>Nguyễn Đức Thương (DE190096)</x:v>
      </x:c>
      <x:c r="G12" s="38" t="str">
        <x:v>Critical</x:v>
      </x:c>
      <x:c r="H12" s="38" t="str">
        <x:v>Doing</x:v>
      </x:c>
      <x:c r="I12" s="38" t="str">
        <x:v>Admin can load, search, filter, and open account details; non-admin requests return 403; empty results are handled.</x:v>
      </x:c>
      <x:c r="J12" s="38" t="str">
        <x:v>EV-USER-03: commit/PR or tag; TC-USER-03: unit/integration/Postman result; UI screenshot; database proof; SRS/SDS update.</x:v>
      </x:c>
      <x:c r="K12" s="38" t="str">
        <x:v>Blocks complete Admin account-management workflow.</x:v>
      </x:c>
      <x:c r="L12" s="38" t="str">
        <x:v>Before Final Release Tag</x:v>
      </x:c>
      <x:c r="M12" s="38" t="str">
        <x:v>Partial</x:v>
      </x:c>
    </x:row>
    <x:row r="13" ht="68" customHeight="1">
      <x:c r="A13" s="38" t="str">
        <x:v>GAP-09</x:v>
      </x:c>
      <x:c r="B13" s="38" t="str">
        <x:v>USER-04</x:v>
      </x:c>
      <x:c r="C13" s="38" t="str">
        <x:v>User Management</x:v>
      </x:c>
      <x:c r="D13" s="38" t="str">
        <x:v>Role/status APIs, UI actions, audit logging, and regression tests are missing.</x:v>
      </x:c>
      <x:c r="E13" s="38" t="str">
        <x:v>Complete allows safe role updates and account activation/locking with protection for critical accounts and active sessions. Then execute positive, validation, authorization, and persistence tests.</x:v>
      </x:c>
      <x:c r="F13" s="38" t="str">
        <x:v>Phan Nguyễn (DE191019)</x:v>
      </x:c>
      <x:c r="G13" s="38" t="str">
        <x:v>Critical</x:v>
      </x:c>
      <x:c r="H13" s="38" t="str">
        <x:v>Not Started</x:v>
      </x:c>
      <x:c r="I13" s="38" t="str">
        <x:v>Allowed changes persist and affect authorization; unsafe changes are blocked; account lock prevents login immediately.</x:v>
      </x:c>
      <x:c r="J13" s="38" t="str">
        <x:v>EV-USER-04: commit/PR or tag; TC-USER-04: unit/integration/Postman result; UI screenshot; database proof; SRS/SDS update.</x:v>
      </x:c>
      <x:c r="K13" s="38" t="str">
        <x:v>Blocks complete Admin account-management workflow.</x:v>
      </x:c>
      <x:c r="L13" s="38" t="str">
        <x:v>Before Final Release Tag</x:v>
      </x:c>
      <x:c r="M13" s="38" t="str">
        <x:v>Missing</x:v>
      </x:c>
    </x:row>
    <x:row r="14" ht="68" customHeight="1">
      <x:c r="A14" s="38" t="str">
        <x:v>GAP-10</x:v>
      </x:c>
      <x:c r="B14" s="38" t="str">
        <x:v>ORDER-04</x:v>
      </x:c>
      <x:c r="C14" s="38" t="str">
        <x:v>Cart &amp; Order Management</x:v>
      </x:c>
      <x:c r="D14" s="38" t="str">
        <x:v>Blocked by complete server-side coupon implementation.</x:v>
      </x:c>
      <x:c r="E14" s="38" t="str">
        <x:v>Complete recalculates subtotal, discount, and final amount from database values rather than accepting client totals. Then execute positive, validation, authorization, and persistence tests.</x:v>
      </x:c>
      <x:c r="F14" s="38" t="str">
        <x:v>Nguyễn Tiến Lộc (DE190986)</x:v>
      </x:c>
      <x:c r="G14" s="38" t="str">
        <x:v>Critical</x:v>
      </x:c>
      <x:c r="H14" s="38" t="str">
        <x:v>Doing</x:v>
      </x:c>
      <x:c r="I14" s="38" t="str">
        <x:v>Manipulated client total is ignored; persisted total matches server calculation; tests cover rounding and invalid discounts.</x:v>
      </x:c>
      <x:c r="J14" s="38" t="str">
        <x:v>EV-ORDER-04: commit/PR or tag; TC-ORDER-04: unit/integration/Postman result; UI screenshot; database proof; SRS/SDS update.</x:v>
      </x:c>
      <x:c r="K14" s="38" t="str">
        <x:v>Blocks authoritative order amount/status correctness.</x:v>
      </x:c>
      <x:c r="L14" s="38" t="str">
        <x:v>Before Final Release Tag</x:v>
      </x:c>
      <x:c r="M14" s="38" t="str">
        <x:v>Partial</x:v>
      </x:c>
    </x:row>
    <x:row r="15" ht="68" customHeight="1">
      <x:c r="A15" s="38" t="str">
        <x:v>GAP-11</x:v>
      </x:c>
      <x:c r="B15" s="38" t="str">
        <x:v>COUPON-01</x:v>
      </x:c>
      <x:c r="C15" s="38" t="str">
        <x:v>Coupon Management</x:v>
      </x:c>
      <x:c r="D15" s="38" t="str">
        <x:v>No verified coupon tables/entities currently exist.</x:v>
      </x:c>
      <x:c r="E15" s="38" t="str">
        <x:v>Complete creates coupon and usage persistence with code, type, value, limits, validity period, status, and audit fields. Then execute positive, validation, authorization, and persistence tests.</x:v>
      </x:c>
      <x:c r="F15" s="38" t="str">
        <x:v>Trần Thanh Gia Huy (DE180571)</x:v>
      </x:c>
      <x:c r="G15" s="38" t="str">
        <x:v>Critical</x:v>
      </x:c>
      <x:c r="H15" s="38" t="str">
        <x:v>Not Started</x:v>
      </x:c>
      <x:c r="I15" s="38" t="str">
        <x:v>Migration succeeds on a clean database; constraints reject invalid/duplicate records; entity mapping passes tests.</x:v>
      </x:c>
      <x:c r="J15" s="38" t="str">
        <x:v>EV-COUPON-01: commit/PR or tag; TC-COUPON-01: unit/integration/Postman result; UI screenshot; database proof; SRS/SDS update.</x:v>
      </x:c>
      <x:c r="K15" s="38" t="str">
        <x:v>Blocks correct server-side discounts and final totals.</x:v>
      </x:c>
      <x:c r="L15" s="38" t="str">
        <x:v>Before Final Release Tag</x:v>
      </x:c>
      <x:c r="M15" s="38" t="str">
        <x:v>Missing</x:v>
      </x:c>
    </x:row>
    <x:row r="16" ht="68" customHeight="1">
      <x:c r="A16" s="38" t="str">
        <x:v>GAP-12</x:v>
      </x:c>
      <x:c r="B16" s="38" t="str">
        <x:v>COUPON-02</x:v>
      </x:c>
      <x:c r="C16" s="38" t="str">
        <x:v>Coupon Management</x:v>
      </x:c>
      <x:c r="D16" s="38" t="str">
        <x:v>Backend and frontend management flows are missing.</x:v>
      </x:c>
      <x:c r="E16" s="38" t="str">
        <x:v>Complete provides secure coupon search, creation, editing, activation, and deactivation. Then execute positive, validation, authorization, and persistence tests.</x:v>
      </x:c>
      <x:c r="F16" s="38" t="str">
        <x:v>Nguyễn Đức Thương (DE190096)</x:v>
      </x:c>
      <x:c r="G16" s="38" t="str">
        <x:v>Critical</x:v>
      </x:c>
      <x:c r="H16" s="38" t="str">
        <x:v>Not Started</x:v>
      </x:c>
      <x:c r="I16" s="38" t="str">
        <x:v>Admin CRUD persists correctly; invalid/duplicate data is rejected; non-admin mutation returns 403.</x:v>
      </x:c>
      <x:c r="J16" s="38" t="str">
        <x:v>EV-COUPON-02: commit/PR or tag; TC-COUPON-02: unit/integration/Postman result; UI screenshot; database proof; SRS/SDS update.</x:v>
      </x:c>
      <x:c r="K16" s="38" t="str">
        <x:v>Blocks correct server-side discounts and final totals.</x:v>
      </x:c>
      <x:c r="L16" s="38" t="str">
        <x:v>Before Final Release Tag</x:v>
      </x:c>
      <x:c r="M16" s="38" t="str">
        <x:v>Missing</x:v>
      </x:c>
    </x:row>
    <x:row r="17" ht="68" customHeight="1">
      <x:c r="A17" s="38" t="str">
        <x:v>GAP-13</x:v>
      </x:c>
      <x:c r="B17" s="38" t="str">
        <x:v>COUPON-03</x:v>
      </x:c>
      <x:c r="C17" s="38" t="str">
        <x:v>Coupon Management</x:v>
      </x:c>
      <x:c r="D17" s="38" t="str">
        <x:v>Required before checkout can be audit-safe.</x:v>
      </x:c>
      <x:c r="E17" s="38" t="str">
        <x:v>Complete validates coupon status, date, minimum amount, usage limits, role/customer eligibility, and applicable order context. Then execute positive, validation, authorization, and persistence tests.</x:v>
      </x:c>
      <x:c r="F17" s="38" t="str">
        <x:v>Trần Thanh Gia Huy (DE180571)</x:v>
      </x:c>
      <x:c r="G17" s="38" t="str">
        <x:v>Critical</x:v>
      </x:c>
      <x:c r="H17" s="38" t="str">
        <x:v>Not Started</x:v>
      </x:c>
      <x:c r="I17" s="38" t="str">
        <x:v>Valid coupon returns authoritative discount preview; expired/inactive/over-limit/ineligible coupons are rejected.</x:v>
      </x:c>
      <x:c r="J17" s="38" t="str">
        <x:v>EV-COUPON-03: commit/PR or tag; TC-COUPON-03: unit/integration/Postman result; UI screenshot; database proof; SRS/SDS update.</x:v>
      </x:c>
      <x:c r="K17" s="38" t="str">
        <x:v>Blocks correct server-side discounts and final totals.</x:v>
      </x:c>
      <x:c r="L17" s="38" t="str">
        <x:v>Before Final Release Tag</x:v>
      </x:c>
      <x:c r="M17" s="38" t="str">
        <x:v>Missing</x:v>
      </x:c>
    </x:row>
    <x:row r="18" ht="68" customHeight="1">
      <x:c r="A18" s="38" t="str">
        <x:v>GAP-14</x:v>
      </x:c>
      <x:c r="B18" s="38" t="str">
        <x:v>COUPON-04</x:v>
      </x:c>
      <x:c r="C18" s="38" t="str">
        <x:v>Coupon Management</x:v>
      </x:c>
      <x:c r="D18" s="38" t="str">
        <x:v>Current discount behavior is client-side or incomplete.</x:v>
      </x:c>
      <x:c r="E18" s="38" t="str">
        <x:v>Complete applies the validated coupon inside the order transaction and persists discount and final total. Then execute positive, validation, authorization, and persistence tests.</x:v>
      </x:c>
      <x:c r="F18" s="38" t="str">
        <x:v>Nguyễn Tiến Lộc (DE190986)</x:v>
      </x:c>
      <x:c r="G18" s="38" t="str">
        <x:v>Critical</x:v>
      </x:c>
      <x:c r="H18" s="38" t="str">
        <x:v>Doing</x:v>
      </x:c>
      <x:c r="I18" s="38" t="str">
        <x:v>Persisted order total matches server calculation; manipulated requests fail; transaction rolls back on invalid coupon.</x:v>
      </x:c>
      <x:c r="J18" s="38" t="str">
        <x:v>EV-COUPON-04: commit/PR or tag; TC-COUPON-04: unit/integration/Postman result; UI screenshot; database proof; SRS/SDS update.</x:v>
      </x:c>
      <x:c r="K18" s="38" t="str">
        <x:v>Blocks correct server-side discounts and final totals.</x:v>
      </x:c>
      <x:c r="L18" s="38" t="str">
        <x:v>Before Final Release Tag</x:v>
      </x:c>
      <x:c r="M18" s="38" t="str">
        <x:v>Partial</x:v>
      </x:c>
    </x:row>
    <x:row r="19" ht="68" customHeight="1">
      <x:c r="A19" s="38" t="str">
        <x:v>GAP-15</x:v>
      </x:c>
      <x:c r="B19" s="38" t="str">
        <x:v>COUPON-05</x:v>
      </x:c>
      <x:c r="C19" s="38" t="str">
        <x:v>Coupon Management</x:v>
      </x:c>
      <x:c r="D19" s="38" t="str">
        <x:v>Requires coupon usage table and transaction tests.</x:v>
      </x:c>
      <x:c r="E19" s="38" t="str">
        <x:v>Complete records coupon usage atomically and enforces global/per-user usage limits during concurrent order creation. Then execute positive, validation, authorization, and persistence tests.</x:v>
      </x:c>
      <x:c r="F19" s="38" t="str">
        <x:v>Trần Thanh Gia Huy (DE180571)</x:v>
      </x:c>
      <x:c r="G19" s="38" t="str">
        <x:v>Critical</x:v>
      </x:c>
      <x:c r="H19" s="38" t="str">
        <x:v>Not Started</x:v>
      </x:c>
      <x:c r="I19" s="38" t="str">
        <x:v>Concurrent final-usage tests allow only permitted usage; failed order creates no orphan usage record.</x:v>
      </x:c>
      <x:c r="J19" s="38" t="str">
        <x:v>EV-COUPON-05: commit/PR or tag; TC-COUPON-05: unit/integration/Postman result; UI screenshot; database proof; SRS/SDS update.</x:v>
      </x:c>
      <x:c r="K19" s="38" t="str">
        <x:v>Blocks correct server-side discounts and final totals.</x:v>
      </x:c>
      <x:c r="L19" s="38" t="str">
        <x:v>Before Final Release Tag</x:v>
      </x:c>
      <x:c r="M19" s="38" t="str">
        <x:v>Missing</x:v>
      </x:c>
    </x:row>
    <x:row r="20" ht="68" customHeight="1">
      <x:c r="A20" s="38" t="str">
        <x:v>GAP-16</x:v>
      </x:c>
      <x:c r="B20" s="38" t="str">
        <x:v>PAY-01</x:v>
      </x:c>
      <x:c r="C20" s="38" t="str">
        <x:v>Payment &amp; Invoice</x:v>
      </x:c>
      <x:c r="D20" s="38" t="str">
        <x:v>Existing UI simulates completion and must be connected to persisted payment.</x:v>
      </x:c>
      <x:c r="E20" s="38" t="str">
        <x:v>Complete allows selection of supported payment methods such as cash or QR and displays payable amount from the server. Then execute positive, validation, authorization, and persistence tests.</x:v>
      </x:c>
      <x:c r="F20" s="38" t="str">
        <x:v>Nguyễn Đức Thương (DE190096)</x:v>
      </x:c>
      <x:c r="G20" s="38" t="str">
        <x:v>High</x:v>
      </x:c>
      <x:c r="H20" s="38" t="str">
        <x:v>Doing</x:v>
      </x:c>
      <x:c r="I20" s="38" t="str">
        <x:v>Selected method is submitted to the payment API; displayed amount matches server; unsupported method is blocked.</x:v>
      </x:c>
      <x:c r="J20" s="38" t="str">
        <x:v>EV-PAY-01: commit/PR or tag; TC-PAY-01: unit/integration/Postman result; UI screenshot; database proof; SRS/SDS update.</x:v>
      </x:c>
      <x:c r="K20" s="38" t="str">
        <x:v>Blocks financial traceability and order completion integrity.</x:v>
      </x:c>
      <x:c r="L20" s="38" t="str">
        <x:v>Before Final Release Tag</x:v>
      </x:c>
      <x:c r="M20" s="38" t="str">
        <x:v>Partial</x:v>
      </x:c>
    </x:row>
    <x:row r="21" ht="68" customHeight="1">
      <x:c r="A21" s="38" t="str">
        <x:v>GAP-17</x:v>
      </x:c>
      <x:c r="B21" s="38" t="str">
        <x:v>PAY-02</x:v>
      </x:c>
      <x:c r="C21" s="38" t="str">
        <x:v>Payment &amp; Invoice</x:v>
      </x:c>
      <x:c r="D21" s="38" t="str">
        <x:v>No verified /api/payments/process lifecycle currently exists.</x:v>
      </x:c>
      <x:c r="E21" s="38" t="str">
        <x:v>Complete processes an eligible order payment request and returns an authoritative payment result. Then execute positive, validation, authorization, and persistence tests.</x:v>
      </x:c>
      <x:c r="F21" s="38" t="str">
        <x:v>Phạm Văn Quyết (DE190425)</x:v>
      </x:c>
      <x:c r="G21" s="38" t="str">
        <x:v>Critical</x:v>
      </x:c>
      <x:c r="H21" s="38" t="str">
        <x:v>Not Started</x:v>
      </x:c>
      <x:c r="I21" s="38" t="str">
        <x:v>Successful request creates payment; invalid order/state/role fails; API is covered for cash/QR outcomes.</x:v>
      </x:c>
      <x:c r="J21" s="38" t="str">
        <x:v>EV-PAY-02: commit/PR or tag; TC-PAY-02: unit/integration/Postman result; UI screenshot; database proof; SRS/SDS update.</x:v>
      </x:c>
      <x:c r="K21" s="38" t="str">
        <x:v>Blocks financial traceability and order completion integrity.</x:v>
      </x:c>
      <x:c r="L21" s="38" t="str">
        <x:v>Before Final Release Tag</x:v>
      </x:c>
      <x:c r="M21" s="38" t="str">
        <x:v>Missing</x:v>
      </x:c>
    </x:row>
    <x:row r="22" ht="68" customHeight="1">
      <x:c r="A22" s="38" t="str">
        <x:v>GAP-18</x:v>
      </x:c>
      <x:c r="B22" s="38" t="str">
        <x:v>PAY-03</x:v>
      </x:c>
      <x:c r="C22" s="38" t="str">
        <x:v>Payment &amp; Invoice</x:v>
      </x:c>
      <x:c r="D22" s="38" t="str">
        <x:v>Required for financial integrity.</x:v>
      </x:c>
      <x:c r="E22" s="38" t="str">
        <x:v>Complete verifies payment amount against the final order total and prevents duplicate processing of the same request/order. Then execute positive, validation, authorization, and persistence tests.</x:v>
      </x:c>
      <x:c r="F22" s="38" t="str">
        <x:v>Nguyễn Tiến Lộc (DE190986)</x:v>
      </x:c>
      <x:c r="G22" s="38" t="str">
        <x:v>Critical</x:v>
      </x:c>
      <x:c r="H22" s="38" t="str">
        <x:v>Not Started</x:v>
      </x:c>
      <x:c r="I22" s="38" t="str">
        <x:v>Amount mismatch fails; repeated request returns the original result or safe conflict; no duplicate records are created.</x:v>
      </x:c>
      <x:c r="J22" s="38" t="str">
        <x:v>EV-PAY-03: commit/PR or tag; TC-PAY-03: unit/integration/Postman result; UI screenshot; database proof; SRS/SDS update.</x:v>
      </x:c>
      <x:c r="K22" s="38" t="str">
        <x:v>Blocks financial traceability and order completion integrity.</x:v>
      </x:c>
      <x:c r="L22" s="38" t="str">
        <x:v>Before Final Release Tag</x:v>
      </x:c>
      <x:c r="M22" s="38" t="str">
        <x:v>Missing</x:v>
      </x:c>
    </x:row>
    <x:row r="23" ht="68" customHeight="1">
      <x:c r="A23" s="38" t="str">
        <x:v>GAP-19</x:v>
      </x:c>
      <x:c r="B23" s="38" t="str">
        <x:v>PAY-04</x:v>
      </x:c>
      <x:c r="C23" s="38" t="str">
        <x:v>Payment &amp; Invoice</x:v>
      </x:c>
      <x:c r="D23" s="38" t="str">
        <x:v>UI-only status change is not acceptable for final audit.</x:v>
      </x:c>
      <x:c r="E23" s="38" t="str">
        <x:v>Complete stores payment details and updates the order to completed only within one successful transaction. Then execute positive, validation, authorization, and persistence tests.</x:v>
      </x:c>
      <x:c r="F23" s="38" t="str">
        <x:v>Nguyễn Tiến Lộc (DE190986)</x:v>
      </x:c>
      <x:c r="G23" s="38" t="str">
        <x:v>Critical</x:v>
      </x:c>
      <x:c r="H23" s="38" t="str">
        <x:v>Not Started</x:v>
      </x:c>
      <x:c r="I23" s="38" t="str">
        <x:v>Success creates one payment and completes order; failure rolls back; SQL evidence reconciles amount/status.</x:v>
      </x:c>
      <x:c r="J23" s="38" t="str">
        <x:v>EV-PAY-04: commit/PR or tag; TC-PAY-04: unit/integration/Postman result; UI screenshot; database proof; SRS/SDS update.</x:v>
      </x:c>
      <x:c r="K23" s="38" t="str">
        <x:v>Blocks financial traceability and order completion integrity.</x:v>
      </x:c>
      <x:c r="L23" s="38" t="str">
        <x:v>Before Final Release Tag</x:v>
      </x:c>
      <x:c r="M23" s="38" t="str">
        <x:v>Missing</x:v>
      </x:c>
    </x:row>
    <x:row r="24" ht="68" customHeight="1">
      <x:c r="A24" s="38" t="str">
        <x:v>GAP-20</x:v>
      </x:c>
      <x:c r="B24" s="38" t="str">
        <x:v>INV-01</x:v>
      </x:c>
      <x:c r="C24" s="38" t="str">
        <x:v>Payment &amp; Invoice</x:v>
      </x:c>
      <x:c r="D24" s="38" t="str">
        <x:v>No verified invoice table/entity exists.</x:v>
      </x:c>
      <x:c r="E24" s="38" t="str">
        <x:v>Complete creates immutable invoice persistence linked one-to-one with a successfully paid order. Then execute positive, validation, authorization, and persistence tests.</x:v>
      </x:c>
      <x:c r="F24" s="38" t="str">
        <x:v>Trần Thanh Gia Huy (DE180571)</x:v>
      </x:c>
      <x:c r="G24" s="38" t="str">
        <x:v>Critical</x:v>
      </x:c>
      <x:c r="H24" s="38" t="str">
        <x:v>Not Started</x:v>
      </x:c>
      <x:c r="I24" s="38" t="str">
        <x:v>Migration creates constraints; duplicate invoice creation fails; invoice values remain unchanged after menu updates.</x:v>
      </x:c>
      <x:c r="J24" s="38" t="str">
        <x:v>EV-INV-01: commit/PR or tag; TC-INV-01: unit/integration/Postman result; UI screenshot; database proof; SRS/SDS update.</x:v>
      </x:c>
      <x:c r="K24" s="38" t="str">
        <x:v>Blocks immutable invoice evidence for paid orders.</x:v>
      </x:c>
      <x:c r="L24" s="38" t="str">
        <x:v>Before Final Release Tag</x:v>
      </x:c>
      <x:c r="M24" s="38" t="str">
        <x:v>Missing</x:v>
      </x:c>
    </x:row>
    <x:row r="25" ht="68" customHeight="1">
      <x:c r="A25" s="38" t="str">
        <x:v>GAP-21</x:v>
      </x:c>
      <x:c r="B25" s="38" t="str">
        <x:v>INV-02</x:v>
      </x:c>
      <x:c r="C25" s="38" t="str">
        <x:v>Payment &amp; Invoice</x:v>
      </x:c>
      <x:c r="D25" s="38" t="str">
        <x:v>Depends on PAY-04 and INV-01.</x:v>
      </x:c>
      <x:c r="E25" s="38" t="str">
        <x:v>Complete generates the invoice automatically within/after the successful payment transaction using order and payment snapshots. Then execute positive, validation, authorization, and persistence tests.</x:v>
      </x:c>
      <x:c r="F25" s="38" t="str">
        <x:v>Trần Thanh Gia Huy (DE180571)</x:v>
      </x:c>
      <x:c r="G25" s="38" t="str">
        <x:v>Critical</x:v>
      </x:c>
      <x:c r="H25" s="38" t="str">
        <x:v>Not Started</x:v>
      </x:c>
      <x:c r="I25" s="38" t="str">
        <x:v>Each successful payment produces exactly one invoice; failed/duplicate payment produces none/one as appropriate.</x:v>
      </x:c>
      <x:c r="J25" s="38" t="str">
        <x:v>EV-INV-02: commit/PR or tag; TC-INV-02: unit/integration/Postman result; UI screenshot; database proof; SRS/SDS update.</x:v>
      </x:c>
      <x:c r="K25" s="38" t="str">
        <x:v>Blocks immutable invoice evidence for paid orders.</x:v>
      </x:c>
      <x:c r="L25" s="38" t="str">
        <x:v>Before Final Release Tag</x:v>
      </x:c>
      <x:c r="M25" s="38" t="str">
        <x:v>Missing</x:v>
      </x:c>
    </x:row>
    <x:row r="26" ht="68" customHeight="1">
      <x:c r="A26" s="38" t="str">
        <x:v>GAP-22</x:v>
      </x:c>
      <x:c r="B26" s="38" t="str">
        <x:v>INV-03</x:v>
      </x:c>
      <x:c r="C26" s="38" t="str">
        <x:v>Payment &amp; Invoice</x:v>
      </x:c>
      <x:c r="D26" s="38" t="str">
        <x:v>Requires invoice generation and authorization.</x:v>
      </x:c>
      <x:c r="E26" s="38" t="str">
        <x:v>Complete allows authorized users to view invoice details and download/print a stable invoice representation. Then execute positive, validation, authorization, and persistence tests.</x:v>
      </x:c>
      <x:c r="F26" s="38" t="str">
        <x:v>Phan Nguyễn (DE191019)</x:v>
      </x:c>
      <x:c r="G26" s="38" t="str">
        <x:v>High</x:v>
      </x:c>
      <x:c r="H26" s="38" t="str">
        <x:v>Not Started</x:v>
      </x:c>
      <x:c r="I26" s="38" t="str">
        <x:v>Authorized view/download works; unauthorized access fails; displayed/PDF totals match database.</x:v>
      </x:c>
      <x:c r="J26" s="38" t="str">
        <x:v>EV-INV-03: commit/PR or tag; TC-INV-03: unit/integration/Postman result; UI screenshot; database proof; SRS/SDS update.</x:v>
      </x:c>
      <x:c r="K26" s="38" t="str">
        <x:v>Blocks immutable invoice evidence for paid orders.</x:v>
      </x:c>
      <x:c r="L26" s="38" t="str">
        <x:v>Before Final Release Tag</x:v>
      </x:c>
      <x:c r="M26" s="38" t="str">
        <x:v>Missing</x:v>
      </x:c>
    </x:row>
    <x:row r="27" ht="68" customHeight="1">
      <x:c r="A27" s="38" t="str">
        <x:v>GAP-23</x:v>
      </x:c>
      <x:c r="B27" s="38" t="str">
        <x:v>FB-01</x:v>
      </x:c>
      <x:c r="C27" s="38" t="str">
        <x:v>Feedback Management</x:v>
      </x:c>
      <x:c r="D27" s="38" t="str">
        <x:v>Current feedback is browser-local and is lost after refresh.</x:v>
      </x:c>
      <x:c r="E27" s="38" t="str">
        <x:v>Complete collects rating and comment for an eligible completed order and displays validation/API responses. Then execute positive, validation, authorization, and persistence tests.</x:v>
      </x:c>
      <x:c r="F27" s="38" t="str">
        <x:v>Nguyễn Đức Thương (DE190096)</x:v>
      </x:c>
      <x:c r="G27" s="38" t="str">
        <x:v>High</x:v>
      </x:c>
      <x:c r="H27" s="38" t="str">
        <x:v>Doing</x:v>
      </x:c>
      <x:c r="I27" s="38" t="str">
        <x:v>Eligible customer can submit once; invalid rating/comment is blocked; refresh shows persisted result after backend completion.</x:v>
      </x:c>
      <x:c r="J27" s="38" t="str">
        <x:v>EV-FB-01: commit/PR or tag; TC-FB-01: unit/integration/Postman result; UI screenshot; database proof; SRS/SDS update.</x:v>
      </x:c>
      <x:c r="K27" s="38" t="str">
        <x:v>Blocks persistent customer-feedback claims.</x:v>
      </x:c>
      <x:c r="L27" s="38" t="str">
        <x:v>Before Final Release Tag</x:v>
      </x:c>
      <x:c r="M27" s="38" t="str">
        <x:v>Partial</x:v>
      </x:c>
    </x:row>
    <x:row r="28" ht="68" customHeight="1">
      <x:c r="A28" s="38" t="str">
        <x:v>GAP-24</x:v>
      </x:c>
      <x:c r="B28" s="38" t="str">
        <x:v>FB-02</x:v>
      </x:c>
      <x:c r="C28" s="38" t="str">
        <x:v>Feedback Management</x:v>
      </x:c>
      <x:c r="D28" s="38" t="str">
        <x:v>Feedback entity/table/API are missing.</x:v>
      </x:c>
      <x:c r="E28" s="38" t="str">
        <x:v>Complete persists feedback only when the authenticated customer owns a completed eligible order. Then execute positive, validation, authorization, and persistence tests.</x:v>
      </x:c>
      <x:c r="F28" s="38" t="str">
        <x:v>Nguyễn Tiến Lộc (DE190986)</x:v>
      </x:c>
      <x:c r="G28" s="38" t="str">
        <x:v>Critical</x:v>
      </x:c>
      <x:c r="H28" s="38" t="str">
        <x:v>Not Started</x:v>
      </x:c>
      <x:c r="I28" s="38" t="str">
        <x:v>Eligible feedback remains after refresh; ineligible/unauthorized requests fail; database relation is correct.</x:v>
      </x:c>
      <x:c r="J28" s="38" t="str">
        <x:v>EV-FB-02: commit/PR or tag; TC-FB-02: unit/integration/Postman result; UI screenshot; database proof; SRS/SDS update.</x:v>
      </x:c>
      <x:c r="K28" s="38" t="str">
        <x:v>Blocks persistent customer-feedback claims.</x:v>
      </x:c>
      <x:c r="L28" s="38" t="str">
        <x:v>Before Final Release Tag</x:v>
      </x:c>
      <x:c r="M28" s="38" t="str">
        <x:v>Missing</x:v>
      </x:c>
    </x:row>
    <x:row r="29" ht="68" customHeight="1">
      <x:c r="A29" s="38" t="str">
        <x:v>GAP-25</x:v>
      </x:c>
      <x:c r="B29" s="38" t="str">
        <x:v>FB-03</x:v>
      </x:c>
      <x:c r="C29" s="38" t="str">
        <x:v>Feedback Management</x:v>
      </x:c>
      <x:c r="D29" s="38" t="str">
        <x:v>Requires database uniqueness and integration tests.</x:v>
      </x:c>
      <x:c r="E29" s="38" t="str">
        <x:v>Complete enforces one active feedback record per customer order and validates rating/comment. Then execute positive, validation, authorization, and persistence tests.</x:v>
      </x:c>
      <x:c r="F29" s="38" t="str">
        <x:v>Nguyễn Tiến Lộc (DE190986)</x:v>
      </x:c>
      <x:c r="G29" s="38" t="str">
        <x:v>High</x:v>
      </x:c>
      <x:c r="H29" s="38" t="str">
        <x:v>Not Started</x:v>
      </x:c>
      <x:c r="I29" s="38" t="str">
        <x:v>Duplicate/concurrent submissions create at most one record; invalid input returns field errors.</x:v>
      </x:c>
      <x:c r="J29" s="38" t="str">
        <x:v>EV-FB-03: commit/PR or tag; TC-FB-03: unit/integration/Postman result; UI screenshot; database proof; SRS/SDS update.</x:v>
      </x:c>
      <x:c r="K29" s="38" t="str">
        <x:v>Blocks persistent customer-feedback claims.</x:v>
      </x:c>
      <x:c r="L29" s="38" t="str">
        <x:v>Before Final Release Tag</x:v>
      </x:c>
      <x:c r="M29" s="38" t="str">
        <x:v>Missing</x:v>
      </x:c>
    </x:row>
    <x:row r="30" ht="68" customHeight="1">
      <x:c r="A30" s="38" t="str">
        <x:v>GAP-26</x:v>
      </x:c>
      <x:c r="B30" s="38" t="str">
        <x:v>FB-04</x:v>
      </x:c>
      <x:c r="C30" s="38" t="str">
        <x:v>Feedback Management</x:v>
      </x:c>
      <x:c r="D30" s="38" t="str">
        <x:v>No verified moderation API exists.</x:v>
      </x:c>
      <x:c r="E30" s="38" t="str">
        <x:v>Complete lists feedback with filters and permits controlled moderation status without rewriting the original rating history. Then execute positive, validation, authorization, and persistence tests.</x:v>
      </x:c>
      <x:c r="F30" s="38" t="str">
        <x:v>Trần Thanh Gia Huy (DE180571)</x:v>
      </x:c>
      <x:c r="G30" s="38" t="str">
        <x:v>High</x:v>
      </x:c>
      <x:c r="H30" s="38" t="str">
        <x:v>Not Started</x:v>
      </x:c>
      <x:c r="I30" s="38" t="str">
        <x:v>Admin can search/filter/review/moderate; non-admin is denied; moderation persists after refresh.</x:v>
      </x:c>
      <x:c r="J30" s="38" t="str">
        <x:v>EV-FB-04: commit/PR or tag; TC-FB-04: unit/integration/Postman result; UI screenshot; database proof; SRS/SDS update.</x:v>
      </x:c>
      <x:c r="K30" s="38" t="str">
        <x:v>Blocks persistent customer-feedback claims.</x:v>
      </x:c>
      <x:c r="L30" s="38" t="str">
        <x:v>Before Final Release Tag</x:v>
      </x:c>
      <x:c r="M30" s="38" t="str">
        <x:v>Missing</x:v>
      </x:c>
    </x:row>
    <x:row r="31" ht="68" customHeight="1">
      <x:c r="A31" s="38" t="str">
        <x:v>GAP-27</x:v>
      </x:c>
      <x:c r="B31" s="38" t="str">
        <x:v>RPT-01</x:v>
      </x:c>
      <x:c r="C31" s="38" t="str">
        <x:v>Reporting &amp; Analytics</x:v>
      </x:c>
      <x:c r="D31" s="38" t="str">
        <x:v>Dashboard currently uses static/mock figures.</x:v>
      </x:c>
      <x:c r="E31" s="38" t="str">
        <x:v>Complete calculates operational KPIs such as paid revenue, completed orders, active reservations, and customer counts from live data. Then execute positive, validation, authorization, and persistence tests.</x:v>
      </x:c>
      <x:c r="F31" s="38" t="str">
        <x:v>Phan Nguyễn (DE191019)</x:v>
      </x:c>
      <x:c r="G31" s="38" t="str">
        <x:v>Critical</x:v>
      </x:c>
      <x:c r="H31" s="38" t="str">
        <x:v>Not Started</x:v>
      </x:c>
      <x:c r="I31" s="38" t="str">
        <x:v>API values reconcile with direct SQL for the same period; empty period returns zero/no-data safely.</x:v>
      </x:c>
      <x:c r="J31" s="38" t="str">
        <x:v>EV-RPT-01: commit/PR or tag; TC-RPT-01: unit/integration/Postman result; UI screenshot; database proof; SRS/SDS update.</x:v>
      </x:c>
      <x:c r="K31" s="38" t="str">
        <x:v>Blocks truthful live dashboard/report claims.</x:v>
      </x:c>
      <x:c r="L31" s="38" t="str">
        <x:v>Before Final Release Tag</x:v>
      </x:c>
      <x:c r="M31" s="38" t="str">
        <x:v>Missing</x:v>
      </x:c>
    </x:row>
    <x:row r="32" ht="68" customHeight="1">
      <x:c r="A32" s="38" t="str">
        <x:v>GAP-28</x:v>
      </x:c>
      <x:c r="B32" s="38" t="str">
        <x:v>RPT-02</x:v>
      </x:c>
      <x:c r="C32" s="38" t="str">
        <x:v>Reporting &amp; Analytics</x:v>
      </x:c>
      <x:c r="D32" s="38" t="str">
        <x:v>Requires payment persistence first.</x:v>
      </x:c>
      <x:c r="E32" s="38" t="str">
        <x:v>Complete groups paid revenue by day/month and supports date-range filtering for dashboard charts. Then execute positive, validation, authorization, and persistence tests.</x:v>
      </x:c>
      <x:c r="F32" s="38" t="str">
        <x:v>Phan Nguyễn (DE191019)</x:v>
      </x:c>
      <x:c r="G32" s="38" t="str">
        <x:v>High</x:v>
      </x:c>
      <x:c r="H32" s="38" t="str">
        <x:v>Not Started</x:v>
      </x:c>
      <x:c r="I32" s="38" t="str">
        <x:v>Chart data matches SQL aggregation; changing date range refreshes correctly; empty ranges render safely.</x:v>
      </x:c>
      <x:c r="J32" s="38" t="str">
        <x:v>EV-RPT-02: commit/PR or tag; TC-RPT-02: unit/integration/Postman result; UI screenshot; database proof; SRS/SDS update.</x:v>
      </x:c>
      <x:c r="K32" s="38" t="str">
        <x:v>Blocks truthful live dashboard/report claims.</x:v>
      </x:c>
      <x:c r="L32" s="38" t="str">
        <x:v>Before Final Release Tag</x:v>
      </x:c>
      <x:c r="M32" s="38" t="str">
        <x:v>Missing</x:v>
      </x:c>
    </x:row>
    <x:row r="33" ht="68" customHeight="1">
      <x:c r="A33" s="38" t="str">
        <x:v>GAP-29</x:v>
      </x:c>
      <x:c r="B33" s="38" t="str">
        <x:v>RPT-03</x:v>
      </x:c>
      <x:c r="C33" s="38" t="str">
        <x:v>Reporting &amp; Analytics</x:v>
      </x:c>
      <x:c r="D33" s="38" t="str">
        <x:v>Current charts are mock/static.</x:v>
      </x:c>
      <x:c r="E33" s="38" t="str">
        <x:v>Complete reports top-selling foods and order counts by status using persisted order items and orders. Then execute positive, validation, authorization, and persistence tests.</x:v>
      </x:c>
      <x:c r="F33" s="38" t="str">
        <x:v>Phan Nguyễn (DE191019)</x:v>
      </x:c>
      <x:c r="G33" s="38" t="str">
        <x:v>High</x:v>
      </x:c>
      <x:c r="H33" s="38" t="str">
        <x:v>Not Started</x:v>
      </x:c>
      <x:c r="I33" s="38" t="str">
        <x:v>Rankings/counts reconcile with SQL; filters and tie handling are documented; non-admin access is blocked.</x:v>
      </x:c>
      <x:c r="J33" s="38" t="str">
        <x:v>EV-RPT-03: commit/PR or tag; TC-RPT-03: unit/integration/Postman result; UI screenshot; database proof; SRS/SDS update.</x:v>
      </x:c>
      <x:c r="K33" s="38" t="str">
        <x:v>Blocks truthful live dashboard/report claims.</x:v>
      </x:c>
      <x:c r="L33" s="38" t="str">
        <x:v>Before Final Release Tag</x:v>
      </x:c>
      <x:c r="M33" s="38" t="str">
        <x:v>Missing</x:v>
      </x:c>
    </x:row>
    <x:row r="34" ht="68" customHeight="1">
      <x:c r="A34" s="38" t="str">
        <x:v>GAP-30</x:v>
      </x:c>
      <x:c r="B34" s="38" t="str">
        <x:v>RPT-04</x:v>
      </x:c>
      <x:c r="C34" s="38" t="str">
        <x:v>Reporting &amp; Analytics</x:v>
      </x:c>
      <x:c r="D34" s="38" t="str">
        <x:v>Frontend exists but is not connected to verified database aggregates.</x:v>
      </x:c>
      <x:c r="E34" s="38" t="str">
        <x:v>Complete replaces hardcoded dashboard values with secured report API calls, loading states, errors, and no-data states. Then execute positive, validation, authorization, and persistence tests.</x:v>
      </x:c>
      <x:c r="F34" s="38" t="str">
        <x:v>Nguyễn Đức Thương (DE190096)</x:v>
      </x:c>
      <x:c r="G34" s="38" t="str">
        <x:v>Critical</x:v>
      </x:c>
      <x:c r="H34" s="38" t="str">
        <x:v>Doing</x:v>
      </x:c>
      <x:c r="I34" s="38" t="str">
        <x:v>Network evidence shows real API calls; displayed totals match response/SQL; API failure does not crash page.</x:v>
      </x:c>
      <x:c r="J34" s="38" t="str">
        <x:v>EV-RPT-04: commit/PR or tag; TC-RPT-04: unit/integration/Postman result; UI screenshot; database proof; SRS/SDS update.</x:v>
      </x:c>
      <x:c r="K34" s="38" t="str">
        <x:v>Blocks truthful live dashboard/report claims.</x:v>
      </x:c>
      <x:c r="L34" s="38" t="str">
        <x:v>Before Final Release Tag</x:v>
      </x:c>
      <x:c r="M34" s="38" t="str">
        <x:v>Partial</x:v>
      </x:c>
    </x:row>
  </x:sheetData>
  <x:mergeCells>
    <x:mergeCell ref="A1:M1"/>
    <x:mergeCell ref="A2:M2"/>
  </x:mergeCells>
  <x:conditionalFormatting sqref="H5:H34">
    <x:cfRule type="expression" dxfId="26" priority="1">
      <x:formula>H5="Doing"</x:formula>
    </x:cfRule>
    <x:cfRule type="expression" dxfId="27" priority="2">
      <x:formula>H5="Not Started"</x:formula>
    </x:cfRule>
    <x:cfRule type="expression" dxfId="28" priority="3">
      <x:formula>H5="Done"</x:formula>
    </x:cfRule>
    <x:cfRule type="expression" dxfId="29" priority="4">
      <x:formula>H5="Updated"</x:formula>
    </x:cfRule>
  </x:conditionalFormatting>
  <x:conditionalFormatting sqref="M5:M34">
    <x:cfRule type="expression" dxfId="30" priority="5">
      <x:formula>M5="Missing"</x:formula>
    </x:cfRule>
    <x:cfRule type="expression" dxfId="31" priority="6">
      <x:formula>M5="Partial"</x:formula>
    </x:cfRule>
    <x:cfRule type="expression" dxfId="32" priority="7">
      <x:formula>M5="Verified"</x:formula>
    </x:cfRule>
  </x:conditionalFormatting>
  <x:dataValidations count="3">
    <x:dataValidation type="list" sqref="G5:G34">
      <x:formula1>"Critical,High,Medium,Low"</x:formula1>
    </x:dataValidation>
    <x:dataValidation type="list" sqref="H5:H34">
      <x:formula1>"Not Started,Doing,Done,Updated"</x:formula1>
    </x:dataValidation>
    <x:dataValidation type="list" sqref="M5:M3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099da049c4f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34" hidden="0" customWidth="1"/>
    <x:col min="5" max="5" width="35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</x:cols>
  <x:sheetData>
    <x:row r="1">
      <x:c r="A1" s="5" t="str">
        <x:v>REQUIREMENT–DESIGN–CODE–TEST–EVIDENCE TRACEABILITY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Expected technical objects must be verified against the final tagged repository. This matrix prevents SRS/SDS/project tracking from drifting away from code.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30" t="str">
        <x:v>Work ID</x:v>
      </x:c>
      <x:c r="B4" s="30" t="str">
        <x:v>SRS Ref</x:v>
      </x:c>
      <x:c r="C4" s="30" t="str">
        <x:v>SDS Ref</x:v>
      </x:c>
      <x:c r="D4" s="30" t="str">
        <x:v>Expected UI / Route</x:v>
      </x:c>
      <x:c r="E4" s="30" t="str">
        <x:v>Expected API / Service</x:v>
      </x:c>
      <x:c r="F4" s="30" t="str">
        <x:v>Expected DB Object</x:v>
      </x:c>
      <x:c r="G4" s="30" t="str">
        <x:v>Test Case ID</x:v>
      </x:c>
      <x:c r="H4" s="30" t="str">
        <x:v>Evidence ID</x:v>
      </x:c>
      <x:c r="I4" s="30" t="str">
        <x:v>Evidence Status</x:v>
      </x:c>
      <x:c r="J4" s="30" t="str">
        <x:v>Verification Notes</x:v>
      </x:c>
    </x:row>
    <x:row r="5" ht="46" customHeight="1">
      <x:c r="A5" s="38" t="str">
        <x:v>AUTH-01</x:v>
      </x:c>
      <x:c r="B5" s="38" t="str">
        <x:v>II.1.1</x:v>
      </x:c>
      <x:c r="C5" s="38" t="str">
        <x:v>II.1.1</x:v>
      </x:c>
      <x:c r="D5" s="38" t="str">
        <x:v>/login, /register, /forgot-password</x:v>
      </x:c>
      <x:c r="E5" s="38" t="str">
        <x:v>/api/auth/*; security filter</x:v>
      </x:c>
      <x:c r="F5" s="38" t="str">
        <x:v>users, roles, refresh_tokens</x:v>
      </x:c>
      <x:c r="G5" s="38" t="str">
        <x:v>TC-AUTH-01</x:v>
      </x:c>
      <x:c r="H5" s="38" t="str">
        <x:v>EV-AUTH-01</x:v>
      </x:c>
      <x:c r="I5" s="38" t="str">
        <x:v>Verified</x:v>
      </x:c>
      <x:c r="J5" s="38" t="str">
        <x:v>Verified in the current audit baseline; reconfirm in final release tag.</x:v>
      </x:c>
    </x:row>
    <x:row r="6" ht="46" customHeight="1">
      <x:c r="A6" s="38" t="str">
        <x:v>AUTH-02</x:v>
      </x:c>
      <x:c r="B6" s="38" t="str">
        <x:v>II.1.2</x:v>
      </x:c>
      <x:c r="C6" s="38" t="str">
        <x:v>II.1.2</x:v>
      </x:c>
      <x:c r="D6" s="38" t="str">
        <x:v>/login, /register, /forgot-password</x:v>
      </x:c>
      <x:c r="E6" s="38" t="str">
        <x:v>/api/auth/*; security filter</x:v>
      </x:c>
      <x:c r="F6" s="38" t="str">
        <x:v>users, roles, refresh_tokens</x:v>
      </x:c>
      <x:c r="G6" s="38" t="str">
        <x:v>TC-AUTH-02</x:v>
      </x:c>
      <x:c r="H6" s="38" t="str">
        <x:v>EV-AUTH-02</x:v>
      </x:c>
      <x:c r="I6" s="38" t="str">
        <x:v>Verified</x:v>
      </x:c>
      <x:c r="J6" s="38" t="str">
        <x:v>Verified in the current audit baseline; reconfirm in final release tag.</x:v>
      </x:c>
    </x:row>
    <x:row r="7" ht="46" customHeight="1">
      <x:c r="A7" s="38" t="str">
        <x:v>AUTH-03</x:v>
      </x:c>
      <x:c r="B7" s="38" t="str">
        <x:v>II.1.3</x:v>
      </x:c>
      <x:c r="C7" s="38" t="str">
        <x:v>II.1.3</x:v>
      </x:c>
      <x:c r="D7" s="38" t="str">
        <x:v>/login, /register, /forgot-password</x:v>
      </x:c>
      <x:c r="E7" s="38" t="str">
        <x:v>/api/auth/*; security filter</x:v>
      </x:c>
      <x:c r="F7" s="38" t="str">
        <x:v>users, roles, refresh_tokens</x:v>
      </x:c>
      <x:c r="G7" s="38" t="str">
        <x:v>TC-AUTH-03</x:v>
      </x:c>
      <x:c r="H7" s="38" t="str">
        <x:v>EV-AUTH-03</x:v>
      </x:c>
      <x:c r="I7" s="38" t="str">
        <x:v>Verified</x:v>
      </x:c>
      <x:c r="J7" s="38" t="str">
        <x:v>Verified in the current audit baseline; reconfirm in final release tag.</x:v>
      </x:c>
    </x:row>
    <x:row r="8" ht="46" customHeight="1">
      <x:c r="A8" s="38" t="str">
        <x:v>AUTH-04</x:v>
      </x:c>
      <x:c r="B8" s="38" t="str">
        <x:v>II.1.4</x:v>
      </x:c>
      <x:c r="C8" s="38" t="str">
        <x:v>II.1.4</x:v>
      </x:c>
      <x:c r="D8" s="38" t="str">
        <x:v>/login, /register, /forgot-password</x:v>
      </x:c>
      <x:c r="E8" s="38" t="str">
        <x:v>/api/auth/*; security filter</x:v>
      </x:c>
      <x:c r="F8" s="38" t="str">
        <x:v>users, roles, refresh_tokens</x:v>
      </x:c>
      <x:c r="G8" s="38" t="str">
        <x:v>TC-AUTH-04</x:v>
      </x:c>
      <x:c r="H8" s="38" t="str">
        <x:v>EV-AUTH-04</x:v>
      </x:c>
      <x:c r="I8" s="38" t="str">
        <x:v>Partial</x:v>
      </x:c>
      <x:c r="J8" s="38" t="str">
        <x:v>Partial implementation/evidence; close in Gap Analysis.</x:v>
      </x:c>
    </x:row>
    <x:row r="9" ht="46" customHeight="1">
      <x:c r="A9" s="38" t="str">
        <x:v>AUTH-05</x:v>
      </x:c>
      <x:c r="B9" s="38" t="str">
        <x:v>II.1.5</x:v>
      </x:c>
      <x:c r="C9" s="38" t="str">
        <x:v>II.1.5</x:v>
      </x:c>
      <x:c r="D9" s="38" t="str">
        <x:v>/login, /register, /forgot-password</x:v>
      </x:c>
      <x:c r="E9" s="38" t="str">
        <x:v>/api/auth/*; security filter</x:v>
      </x:c>
      <x:c r="F9" s="38" t="str">
        <x:v>users, roles, refresh_tokens</x:v>
      </x:c>
      <x:c r="G9" s="38" t="str">
        <x:v>TC-AUTH-05</x:v>
      </x:c>
      <x:c r="H9" s="38" t="str">
        <x:v>EV-AUTH-05</x:v>
      </x:c>
      <x:c r="I9" s="38" t="str">
        <x:v>Missing</x:v>
      </x:c>
      <x:c r="J9" s="38" t="str">
        <x:v>Missing implementation/evidence; do not mark complete.</x:v>
      </x:c>
    </x:row>
    <x:row r="10" ht="46" customHeight="1">
      <x:c r="A10" s="38" t="str">
        <x:v>AUTH-06</x:v>
      </x:c>
      <x:c r="B10" s="38" t="str">
        <x:v>II.1.6</x:v>
      </x:c>
      <x:c r="C10" s="38" t="str">
        <x:v>II.1.6</x:v>
      </x:c>
      <x:c r="D10" s="38" t="str">
        <x:v>/login, /register, /forgot-password</x:v>
      </x:c>
      <x:c r="E10" s="38" t="str">
        <x:v>/api/auth/*; security filter</x:v>
      </x:c>
      <x:c r="F10" s="38" t="str">
        <x:v>users, roles, refresh_tokens</x:v>
      </x:c>
      <x:c r="G10" s="38" t="str">
        <x:v>TC-AUTH-06</x:v>
      </x:c>
      <x:c r="H10" s="38" t="str">
        <x:v>EV-AUTH-06</x:v>
      </x:c>
      <x:c r="I10" s="38" t="str">
        <x:v>Partial</x:v>
      </x:c>
      <x:c r="J10" s="38" t="str">
        <x:v>Partial implementation/evidence; close in Gap Analysis.</x:v>
      </x:c>
    </x:row>
    <x:row r="11" ht="46" customHeight="1">
      <x:c r="A11" s="38" t="str">
        <x:v>AUTH-07</x:v>
      </x:c>
      <x:c r="B11" s="38" t="str">
        <x:v>II.1.7</x:v>
      </x:c>
      <x:c r="C11" s="38" t="str">
        <x:v>II.1.7</x:v>
      </x:c>
      <x:c r="D11" s="38" t="str">
        <x:v>/login, /register, /forgot-password</x:v>
      </x:c>
      <x:c r="E11" s="38" t="str">
        <x:v>/api/auth/*; security filter</x:v>
      </x:c>
      <x:c r="F11" s="38" t="str">
        <x:v>users, roles, refresh_tokens</x:v>
      </x:c>
      <x:c r="G11" s="38" t="str">
        <x:v>TC-AUTH-07</x:v>
      </x:c>
      <x:c r="H11" s="38" t="str">
        <x:v>EV-AUTH-07</x:v>
      </x:c>
      <x:c r="I11" s="38" t="str">
        <x:v>Partial</x:v>
      </x:c>
      <x:c r="J11" s="38" t="str">
        <x:v>Partial implementation/evidence; close in Gap Analysis.</x:v>
      </x:c>
    </x:row>
    <x:row r="12" ht="46" customHeight="1">
      <x:c r="A12" s="38" t="str">
        <x:v>AUTH-08</x:v>
      </x:c>
      <x:c r="B12" s="38" t="str">
        <x:v>II.1.8</x:v>
      </x:c>
      <x:c r="C12" s="38" t="str">
        <x:v>II.1.8</x:v>
      </x:c>
      <x:c r="D12" s="38" t="str">
        <x:v>/login, /register, /forgot-password</x:v>
      </x:c>
      <x:c r="E12" s="38" t="str">
        <x:v>/api/auth/*; security filter</x:v>
      </x:c>
      <x:c r="F12" s="38" t="str">
        <x:v>users, roles, refresh_tokens</x:v>
      </x:c>
      <x:c r="G12" s="38" t="str">
        <x:v>TC-AUTH-08</x:v>
      </x:c>
      <x:c r="H12" s="38" t="str">
        <x:v>EV-AUTH-08</x:v>
      </x:c>
      <x:c r="I12" s="38" t="str">
        <x:v>Partial</x:v>
      </x:c>
      <x:c r="J12" s="38" t="str">
        <x:v>Partial implementation/evidence; close in Gap Analysis.</x:v>
      </x:c>
    </x:row>
    <x:row r="13" ht="46" customHeight="1">
      <x:c r="A13" s="38" t="str">
        <x:v>AUTH-09</x:v>
      </x:c>
      <x:c r="B13" s="38" t="str">
        <x:v>II.1.9</x:v>
      </x:c>
      <x:c r="C13" s="38" t="str">
        <x:v>II.1.9</x:v>
      </x:c>
      <x:c r="D13" s="38" t="str">
        <x:v>/login, /register, /forgot-password</x:v>
      </x:c>
      <x:c r="E13" s="38" t="str">
        <x:v>/api/auth/*; security filter</x:v>
      </x:c>
      <x:c r="F13" s="38" t="str">
        <x:v>users, roles, refresh_tokens</x:v>
      </x:c>
      <x:c r="G13" s="38" t="str">
        <x:v>TC-AUTH-09</x:v>
      </x:c>
      <x:c r="H13" s="38" t="str">
        <x:v>EV-AUTH-09</x:v>
      </x:c>
      <x:c r="I13" s="38" t="str">
        <x:v>Partial</x:v>
      </x:c>
      <x:c r="J13" s="38" t="str">
        <x:v>Partial implementation/evidence; close in Gap Analysis.</x:v>
      </x:c>
    </x:row>
    <x:row r="14" ht="46" customHeight="1">
      <x:c r="A14" s="38" t="str">
        <x:v>AUTH-10</x:v>
      </x:c>
      <x:c r="B14" s="38" t="str">
        <x:v>II.1.10</x:v>
      </x:c>
      <x:c r="C14" s="38" t="str">
        <x:v>II.1.10</x:v>
      </x:c>
      <x:c r="D14" s="38" t="str">
        <x:v>/login, /register, /forgot-password</x:v>
      </x:c>
      <x:c r="E14" s="38" t="str">
        <x:v>/api/auth/*; security filter</x:v>
      </x:c>
      <x:c r="F14" s="38" t="str">
        <x:v>users, roles, refresh_tokens</x:v>
      </x:c>
      <x:c r="G14" s="38" t="str">
        <x:v>TC-AUTH-10</x:v>
      </x:c>
      <x:c r="H14" s="38" t="str">
        <x:v>EV-AUTH-10</x:v>
      </x:c>
      <x:c r="I14" s="38" t="str">
        <x:v>Missing</x:v>
      </x:c>
      <x:c r="J14" s="38" t="str">
        <x:v>Missing implementation/evidence; do not mark complete.</x:v>
      </x:c>
    </x:row>
    <x:row r="15" ht="46" customHeight="1">
      <x:c r="A15" s="38" t="str">
        <x:v>AUTH-11</x:v>
      </x:c>
      <x:c r="B15" s="38" t="str">
        <x:v>II.1.11</x:v>
      </x:c>
      <x:c r="C15" s="38" t="str">
        <x:v>II.1.11</x:v>
      </x:c>
      <x:c r="D15" s="38" t="str">
        <x:v>/login, /register, /forgot-password</x:v>
      </x:c>
      <x:c r="E15" s="38" t="str">
        <x:v>/api/auth/*; security filter</x:v>
      </x:c>
      <x:c r="F15" s="38" t="str">
        <x:v>users, roles, refresh_tokens</x:v>
      </x:c>
      <x:c r="G15" s="38" t="str">
        <x:v>TC-AUTH-11</x:v>
      </x:c>
      <x:c r="H15" s="38" t="str">
        <x:v>EV-AUTH-11</x:v>
      </x:c>
      <x:c r="I15" s="38" t="str">
        <x:v>Verified</x:v>
      </x:c>
      <x:c r="J15" s="38" t="str">
        <x:v>Verified in the current audit baseline; reconfirm in final release tag.</x:v>
      </x:c>
    </x:row>
    <x:row r="16" ht="46" customHeight="1">
      <x:c r="A16" s="38" t="str">
        <x:v>AUTH-12</x:v>
      </x:c>
      <x:c r="B16" s="38" t="str">
        <x:v>II.1.12</x:v>
      </x:c>
      <x:c r="C16" s="38" t="str">
        <x:v>II.1.12</x:v>
      </x:c>
      <x:c r="D16" s="38" t="str">
        <x:v>/login, /register, /forgot-password</x:v>
      </x:c>
      <x:c r="E16" s="38" t="str">
        <x:v>/api/auth/*; security filter</x:v>
      </x:c>
      <x:c r="F16" s="38" t="str">
        <x:v>users, roles, refresh_tokens</x:v>
      </x:c>
      <x:c r="G16" s="38" t="str">
        <x:v>TC-AUTH-12</x:v>
      </x:c>
      <x:c r="H16" s="38" t="str">
        <x:v>EV-AUTH-12</x:v>
      </x:c>
      <x:c r="I16" s="38" t="str">
        <x:v>Verified</x:v>
      </x:c>
      <x:c r="J16" s="38" t="str">
        <x:v>Verified in the current audit baseline; reconfirm in final release tag.</x:v>
      </x:c>
    </x:row>
    <x:row r="17" ht="46" customHeight="1">
      <x:c r="A17" s="38" t="str">
        <x:v>AUTH-13</x:v>
      </x:c>
      <x:c r="B17" s="38" t="str">
        <x:v>II.1.13</x:v>
      </x:c>
      <x:c r="C17" s="38" t="str">
        <x:v>II.1.13</x:v>
      </x:c>
      <x:c r="D17" s="38" t="str">
        <x:v>/login, /register, /forgot-password</x:v>
      </x:c>
      <x:c r="E17" s="38" t="str">
        <x:v>/api/auth/*; security filter</x:v>
      </x:c>
      <x:c r="F17" s="38" t="str">
        <x:v>users, roles, refresh_tokens</x:v>
      </x:c>
      <x:c r="G17" s="38" t="str">
        <x:v>TC-AUTH-13</x:v>
      </x:c>
      <x:c r="H17" s="38" t="str">
        <x:v>EV-AUTH-13</x:v>
      </x:c>
      <x:c r="I17" s="38" t="str">
        <x:v>Verified</x:v>
      </x:c>
      <x:c r="J17" s="38" t="str">
        <x:v>Verified in the current audit baseline; reconfirm in final release tag.</x:v>
      </x:c>
    </x:row>
    <x:row r="18" ht="46" customHeight="1">
      <x:c r="A18" s="38" t="str">
        <x:v>AUTH-14</x:v>
      </x:c>
      <x:c r="B18" s="38" t="str">
        <x:v>II.1.14</x:v>
      </x:c>
      <x:c r="C18" s="38" t="str">
        <x:v>II.1.14</x:v>
      </x:c>
      <x:c r="D18" s="38" t="str">
        <x:v>/login, /register, /forgot-password</x:v>
      </x:c>
      <x:c r="E18" s="38" t="str">
        <x:v>/api/auth/*; security filter</x:v>
      </x:c>
      <x:c r="F18" s="38" t="str">
        <x:v>users, roles, refresh_tokens</x:v>
      </x:c>
      <x:c r="G18" s="38" t="str">
        <x:v>TC-AUTH-14</x:v>
      </x:c>
      <x:c r="H18" s="38" t="str">
        <x:v>EV-AUTH-14</x:v>
      </x:c>
      <x:c r="I18" s="38" t="str">
        <x:v>Verified</x:v>
      </x:c>
      <x:c r="J18" s="38" t="str">
        <x:v>Verified in the current audit baseline; reconfirm in final release tag.</x:v>
      </x:c>
    </x:row>
    <x:row r="19" ht="46" customHeight="1">
      <x:c r="A19" s="38" t="str">
        <x:v>USER-01</x:v>
      </x:c>
      <x:c r="B19" s="38" t="str">
        <x:v>II.2.1</x:v>
      </x:c>
      <x:c r="C19" s="38" t="str">
        <x:v>II.2.1</x:v>
      </x:c>
      <x:c r="D19" s="38" t="str">
        <x:v>/profile, /admin/accounts</x:v>
      </x:c>
      <x:c r="E19" s="38" t="str">
        <x:v>/api/users/*; /api/users/me</x:v>
      </x:c>
      <x:c r="F19" s="38" t="str">
        <x:v>users, roles</x:v>
      </x:c>
      <x:c r="G19" s="38" t="str">
        <x:v>TC-USER-01</x:v>
      </x:c>
      <x:c r="H19" s="38" t="str">
        <x:v>EV-USER-01</x:v>
      </x:c>
      <x:c r="I19" s="38" t="str">
        <x:v>Verified</x:v>
      </x:c>
      <x:c r="J19" s="38" t="str">
        <x:v>Verified in the current audit baseline; reconfirm in final release tag.</x:v>
      </x:c>
    </x:row>
    <x:row r="20" ht="46" customHeight="1">
      <x:c r="A20" s="38" t="str">
        <x:v>USER-02</x:v>
      </x:c>
      <x:c r="B20" s="38" t="str">
        <x:v>II.2.2</x:v>
      </x:c>
      <x:c r="C20" s="38" t="str">
        <x:v>II.2.2</x:v>
      </x:c>
      <x:c r="D20" s="38" t="str">
        <x:v>/profile, /admin/accounts</x:v>
      </x:c>
      <x:c r="E20" s="38" t="str">
        <x:v>/api/users/*; /api/users/me</x:v>
      </x:c>
      <x:c r="F20" s="38" t="str">
        <x:v>users, roles</x:v>
      </x:c>
      <x:c r="G20" s="38" t="str">
        <x:v>TC-USER-02</x:v>
      </x:c>
      <x:c r="H20" s="38" t="str">
        <x:v>EV-USER-02</x:v>
      </x:c>
      <x:c r="I20" s="38" t="str">
        <x:v>Verified</x:v>
      </x:c>
      <x:c r="J20" s="38" t="str">
        <x:v>Verified in the current audit baseline; reconfirm in final release tag.</x:v>
      </x:c>
    </x:row>
    <x:row r="21" ht="46" customHeight="1">
      <x:c r="A21" s="38" t="str">
        <x:v>USER-03</x:v>
      </x:c>
      <x:c r="B21" s="38" t="str">
        <x:v>II.2.3</x:v>
      </x:c>
      <x:c r="C21" s="38" t="str">
        <x:v>II.2.3</x:v>
      </x:c>
      <x:c r="D21" s="38" t="str">
        <x:v>/profile, /admin/accounts</x:v>
      </x:c>
      <x:c r="E21" s="38" t="str">
        <x:v>/api/users/*; /api/users/me</x:v>
      </x:c>
      <x:c r="F21" s="38" t="str">
        <x:v>users, roles</x:v>
      </x:c>
      <x:c r="G21" s="38" t="str">
        <x:v>TC-USER-03</x:v>
      </x:c>
      <x:c r="H21" s="38" t="str">
        <x:v>EV-USER-03</x:v>
      </x:c>
      <x:c r="I21" s="38" t="str">
        <x:v>Partial</x:v>
      </x:c>
      <x:c r="J21" s="38" t="str">
        <x:v>Partial implementation/evidence; close in Gap Analysis.</x:v>
      </x:c>
    </x:row>
    <x:row r="22" ht="46" customHeight="1">
      <x:c r="A22" s="38" t="str">
        <x:v>USER-04</x:v>
      </x:c>
      <x:c r="B22" s="38" t="str">
        <x:v>II.2.4</x:v>
      </x:c>
      <x:c r="C22" s="38" t="str">
        <x:v>II.2.4</x:v>
      </x:c>
      <x:c r="D22" s="38" t="str">
        <x:v>/profile, /admin/accounts</x:v>
      </x:c>
      <x:c r="E22" s="38" t="str">
        <x:v>/api/users/*; /api/users/me</x:v>
      </x:c>
      <x:c r="F22" s="38" t="str">
        <x:v>users, roles</x:v>
      </x:c>
      <x:c r="G22" s="38" t="str">
        <x:v>TC-USER-04</x:v>
      </x:c>
      <x:c r="H22" s="38" t="str">
        <x:v>EV-USER-04</x:v>
      </x:c>
      <x:c r="I22" s="38" t="str">
        <x:v>Missing</x:v>
      </x:c>
      <x:c r="J22" s="38" t="str">
        <x:v>Missing implementation/evidence; do not mark complete.</x:v>
      </x:c>
    </x:row>
    <x:row r="23" ht="46" customHeight="1">
      <x:c r="A23" s="38" t="str">
        <x:v>MENU-01</x:v>
      </x:c>
      <x:c r="B23" s="38" t="str">
        <x:v>II.3.1</x:v>
      </x:c>
      <x:c r="C23" s="38" t="str">
        <x:v>II.3.1</x:v>
      </x:c>
      <x:c r="D23" s="38" t="str">
        <x:v>/menu, /admin/categories, /admin/foods</x:v>
      </x:c>
      <x:c r="E23" s="38" t="str">
        <x:v>/api/categories; /api/foods</x:v>
      </x:c>
      <x:c r="F23" s="38" t="str">
        <x:v>categories, foods</x:v>
      </x:c>
      <x:c r="G23" s="38" t="str">
        <x:v>TC-MENU-01</x:v>
      </x:c>
      <x:c r="H23" s="38" t="str">
        <x:v>EV-MENU-01</x:v>
      </x:c>
      <x:c r="I23" s="38" t="str">
        <x:v>Verified</x:v>
      </x:c>
      <x:c r="J23" s="38" t="str">
        <x:v>Verified in the current audit baseline; reconfirm in final release tag.</x:v>
      </x:c>
    </x:row>
    <x:row r="24" ht="46" customHeight="1">
      <x:c r="A24" s="38" t="str">
        <x:v>MENU-02</x:v>
      </x:c>
      <x:c r="B24" s="38" t="str">
        <x:v>II.3.2</x:v>
      </x:c>
      <x:c r="C24" s="38" t="str">
        <x:v>II.3.2</x:v>
      </x:c>
      <x:c r="D24" s="38" t="str">
        <x:v>/menu, /admin/categories, /admin/foods</x:v>
      </x:c>
      <x:c r="E24" s="38" t="str">
        <x:v>/api/categories; /api/foods</x:v>
      </x:c>
      <x:c r="F24" s="38" t="str">
        <x:v>categories, foods</x:v>
      </x:c>
      <x:c r="G24" s="38" t="str">
        <x:v>TC-MENU-02</x:v>
      </x:c>
      <x:c r="H24" s="38" t="str">
        <x:v>EV-MENU-02</x:v>
      </x:c>
      <x:c r="I24" s="38" t="str">
        <x:v>Verified</x:v>
      </x:c>
      <x:c r="J24" s="38" t="str">
        <x:v>Verified in the current audit baseline; reconfirm in final release tag.</x:v>
      </x:c>
    </x:row>
    <x:row r="25" ht="46" customHeight="1">
      <x:c r="A25" s="38" t="str">
        <x:v>MENU-03</x:v>
      </x:c>
      <x:c r="B25" s="38" t="str">
        <x:v>II.3.3</x:v>
      </x:c>
      <x:c r="C25" s="38" t="str">
        <x:v>II.3.3</x:v>
      </x:c>
      <x:c r="D25" s="38" t="str">
        <x:v>/menu, /admin/categories, /admin/foods</x:v>
      </x:c>
      <x:c r="E25" s="38" t="str">
        <x:v>/api/categories; /api/foods</x:v>
      </x:c>
      <x:c r="F25" s="38" t="str">
        <x:v>categories, foods</x:v>
      </x:c>
      <x:c r="G25" s="38" t="str">
        <x:v>TC-MENU-03</x:v>
      </x:c>
      <x:c r="H25" s="38" t="str">
        <x:v>EV-MENU-03</x:v>
      </x:c>
      <x:c r="I25" s="38" t="str">
        <x:v>Verified</x:v>
      </x:c>
      <x:c r="J25" s="38" t="str">
        <x:v>Verified in the current audit baseline; reconfirm in final release tag.</x:v>
      </x:c>
    </x:row>
    <x:row r="26" ht="46" customHeight="1">
      <x:c r="A26" s="38" t="str">
        <x:v>MENU-04</x:v>
      </x:c>
      <x:c r="B26" s="38" t="str">
        <x:v>II.3.4</x:v>
      </x:c>
      <x:c r="C26" s="38" t="str">
        <x:v>II.3.4</x:v>
      </x:c>
      <x:c r="D26" s="38" t="str">
        <x:v>/menu, /admin/categories, /admin/foods</x:v>
      </x:c>
      <x:c r="E26" s="38" t="str">
        <x:v>/api/categories; /api/foods</x:v>
      </x:c>
      <x:c r="F26" s="38" t="str">
        <x:v>categories, foods</x:v>
      </x:c>
      <x:c r="G26" s="38" t="str">
        <x:v>TC-MENU-04</x:v>
      </x:c>
      <x:c r="H26" s="38" t="str">
        <x:v>EV-MENU-04</x:v>
      </x:c>
      <x:c r="I26" s="38" t="str">
        <x:v>Verified</x:v>
      </x:c>
      <x:c r="J26" s="38" t="str">
        <x:v>Verified in the current audit baseline; reconfirm in final release tag.</x:v>
      </x:c>
    </x:row>
    <x:row r="27" ht="46" customHeight="1">
      <x:c r="A27" s="38" t="str">
        <x:v>MENU-05</x:v>
      </x:c>
      <x:c r="B27" s="38" t="str">
        <x:v>II.3.5</x:v>
      </x:c>
      <x:c r="C27" s="38" t="str">
        <x:v>II.3.5</x:v>
      </x:c>
      <x:c r="D27" s="38" t="str">
        <x:v>/menu, /admin/categories, /admin/foods</x:v>
      </x:c>
      <x:c r="E27" s="38" t="str">
        <x:v>/api/categories; /api/foods</x:v>
      </x:c>
      <x:c r="F27" s="38" t="str">
        <x:v>categories, foods</x:v>
      </x:c>
      <x:c r="G27" s="38" t="str">
        <x:v>TC-MENU-05</x:v>
      </x:c>
      <x:c r="H27" s="38" t="str">
        <x:v>EV-MENU-05</x:v>
      </x:c>
      <x:c r="I27" s="38" t="str">
        <x:v>Verified</x:v>
      </x:c>
      <x:c r="J27" s="38" t="str">
        <x:v>Verified in the current audit baseline; reconfirm in final release tag.</x:v>
      </x:c>
    </x:row>
    <x:row r="28" ht="46" customHeight="1">
      <x:c r="A28" s="38" t="str">
        <x:v>MENU-06</x:v>
      </x:c>
      <x:c r="B28" s="38" t="str">
        <x:v>II.3.6</x:v>
      </x:c>
      <x:c r="C28" s="38" t="str">
        <x:v>II.3.6</x:v>
      </x:c>
      <x:c r="D28" s="38" t="str">
        <x:v>/menu, /admin/categories, /admin/foods</x:v>
      </x:c>
      <x:c r="E28" s="38" t="str">
        <x:v>/api/categories; /api/foods</x:v>
      </x:c>
      <x:c r="F28" s="38" t="str">
        <x:v>categories, foods</x:v>
      </x:c>
      <x:c r="G28" s="38" t="str">
        <x:v>TC-MENU-06</x:v>
      </x:c>
      <x:c r="H28" s="38" t="str">
        <x:v>EV-MENU-06</x:v>
      </x:c>
      <x:c r="I28" s="38" t="str">
        <x:v>Verified</x:v>
      </x:c>
      <x:c r="J28" s="38" t="str">
        <x:v>Verified in the current audit baseline; reconfirm in final release tag.</x:v>
      </x:c>
    </x:row>
    <x:row r="29" ht="46" customHeight="1">
      <x:c r="A29" s="38" t="str">
        <x:v>MENU-07</x:v>
      </x:c>
      <x:c r="B29" s="38" t="str">
        <x:v>II.3.7</x:v>
      </x:c>
      <x:c r="C29" s="38" t="str">
        <x:v>II.3.7</x:v>
      </x:c>
      <x:c r="D29" s="38" t="str">
        <x:v>/menu, /admin/categories, /admin/foods</x:v>
      </x:c>
      <x:c r="E29" s="38" t="str">
        <x:v>/api/categories; /api/foods</x:v>
      </x:c>
      <x:c r="F29" s="38" t="str">
        <x:v>categories, foods</x:v>
      </x:c>
      <x:c r="G29" s="38" t="str">
        <x:v>TC-MENU-07</x:v>
      </x:c>
      <x:c r="H29" s="38" t="str">
        <x:v>EV-MENU-07</x:v>
      </x:c>
      <x:c r="I29" s="38" t="str">
        <x:v>Verified</x:v>
      </x:c>
      <x:c r="J29" s="38" t="str">
        <x:v>Verified in the current audit baseline; reconfirm in final release tag.</x:v>
      </x:c>
    </x:row>
    <x:row r="30" ht="46" customHeight="1">
      <x:c r="A30" s="38" t="str">
        <x:v>TABLE-01</x:v>
      </x:c>
      <x:c r="B30" s="38" t="str">
        <x:v>II.4.1</x:v>
      </x:c>
      <x:c r="C30" s="38" t="str">
        <x:v>II.4.1</x:v>
      </x:c>
      <x:c r="D30" s="38" t="str">
        <x:v>/tables, /admin/tables</x:v>
      </x:c>
      <x:c r="E30" s="38" t="str">
        <x:v>/api/tables</x:v>
      </x:c>
      <x:c r="F30" s="38" t="str">
        <x:v>restaurant_tables</x:v>
      </x:c>
      <x:c r="G30" s="38" t="str">
        <x:v>TC-TABLE-01</x:v>
      </x:c>
      <x:c r="H30" s="38" t="str">
        <x:v>EV-TABLE-01</x:v>
      </x:c>
      <x:c r="I30" s="38" t="str">
        <x:v>Verified</x:v>
      </x:c>
      <x:c r="J30" s="38" t="str">
        <x:v>Verified in the current audit baseline; reconfirm in final release tag.</x:v>
      </x:c>
    </x:row>
    <x:row r="31" ht="46" customHeight="1">
      <x:c r="A31" s="38" t="str">
        <x:v>TABLE-02</x:v>
      </x:c>
      <x:c r="B31" s="38" t="str">
        <x:v>II.4.2</x:v>
      </x:c>
      <x:c r="C31" s="38" t="str">
        <x:v>II.4.2</x:v>
      </x:c>
      <x:c r="D31" s="38" t="str">
        <x:v>/tables, /admin/tables</x:v>
      </x:c>
      <x:c r="E31" s="38" t="str">
        <x:v>/api/tables</x:v>
      </x:c>
      <x:c r="F31" s="38" t="str">
        <x:v>restaurant_tables</x:v>
      </x:c>
      <x:c r="G31" s="38" t="str">
        <x:v>TC-TABLE-02</x:v>
      </x:c>
      <x:c r="H31" s="38" t="str">
        <x:v>EV-TABLE-02</x:v>
      </x:c>
      <x:c r="I31" s="38" t="str">
        <x:v>Verified</x:v>
      </x:c>
      <x:c r="J31" s="38" t="str">
        <x:v>Verified in the current audit baseline; reconfirm in final release tag.</x:v>
      </x:c>
    </x:row>
    <x:row r="32" ht="46" customHeight="1">
      <x:c r="A32" s="38" t="str">
        <x:v>TABLE-03</x:v>
      </x:c>
      <x:c r="B32" s="38" t="str">
        <x:v>II.4.3</x:v>
      </x:c>
      <x:c r="C32" s="38" t="str">
        <x:v>II.4.3</x:v>
      </x:c>
      <x:c r="D32" s="38" t="str">
        <x:v>/tables, /admin/tables</x:v>
      </x:c>
      <x:c r="E32" s="38" t="str">
        <x:v>/api/tables</x:v>
      </x:c>
      <x:c r="F32" s="38" t="str">
        <x:v>restaurant_tables</x:v>
      </x:c>
      <x:c r="G32" s="38" t="str">
        <x:v>TC-TABLE-03</x:v>
      </x:c>
      <x:c r="H32" s="38" t="str">
        <x:v>EV-TABLE-03</x:v>
      </x:c>
      <x:c r="I32" s="38" t="str">
        <x:v>Verified</x:v>
      </x:c>
      <x:c r="J32" s="38" t="str">
        <x:v>Verified in the current audit baseline; reconfirm in final release tag.</x:v>
      </x:c>
    </x:row>
    <x:row r="33" ht="46" customHeight="1">
      <x:c r="A33" s="38" t="str">
        <x:v>TABLE-04</x:v>
      </x:c>
      <x:c r="B33" s="38" t="str">
        <x:v>II.4.4</x:v>
      </x:c>
      <x:c r="C33" s="38" t="str">
        <x:v>II.4.4</x:v>
      </x:c>
      <x:c r="D33" s="38" t="str">
        <x:v>/tables, /admin/tables</x:v>
      </x:c>
      <x:c r="E33" s="38" t="str">
        <x:v>/api/tables</x:v>
      </x:c>
      <x:c r="F33" s="38" t="str">
        <x:v>restaurant_tables</x:v>
      </x:c>
      <x:c r="G33" s="38" t="str">
        <x:v>TC-TABLE-04</x:v>
      </x:c>
      <x:c r="H33" s="38" t="str">
        <x:v>EV-TABLE-04</x:v>
      </x:c>
      <x:c r="I33" s="38" t="str">
        <x:v>Verified</x:v>
      </x:c>
      <x:c r="J33" s="38" t="str">
        <x:v>Verified in the current audit baseline; reconfirm in final release tag.</x:v>
      </x:c>
    </x:row>
    <x:row r="34" ht="46" customHeight="1">
      <x:c r="A34" s="38" t="str">
        <x:v>TABLE-05</x:v>
      </x:c>
      <x:c r="B34" s="38" t="str">
        <x:v>II.4.5</x:v>
      </x:c>
      <x:c r="C34" s="38" t="str">
        <x:v>II.4.5</x:v>
      </x:c>
      <x:c r="D34" s="38" t="str">
        <x:v>/tables, /admin/tables</x:v>
      </x:c>
      <x:c r="E34" s="38" t="str">
        <x:v>/api/tables</x:v>
      </x:c>
      <x:c r="F34" s="38" t="str">
        <x:v>restaurant_tables</x:v>
      </x:c>
      <x:c r="G34" s="38" t="str">
        <x:v>TC-TABLE-05</x:v>
      </x:c>
      <x:c r="H34" s="38" t="str">
        <x:v>EV-TABLE-05</x:v>
      </x:c>
      <x:c r="I34" s="38" t="str">
        <x:v>Verified</x:v>
      </x:c>
      <x:c r="J34" s="38" t="str">
        <x:v>Verified in the current audit baseline; reconfirm in final release tag.</x:v>
      </x:c>
    </x:row>
    <x:row r="35" ht="46" customHeight="1">
      <x:c r="A35" s="38" t="str">
        <x:v>TABLE-06</x:v>
      </x:c>
      <x:c r="B35" s="38" t="str">
        <x:v>II.4.6</x:v>
      </x:c>
      <x:c r="C35" s="38" t="str">
        <x:v>II.4.6</x:v>
      </x:c>
      <x:c r="D35" s="38" t="str">
        <x:v>/tables, /admin/tables</x:v>
      </x:c>
      <x:c r="E35" s="38" t="str">
        <x:v>/api/tables</x:v>
      </x:c>
      <x:c r="F35" s="38" t="str">
        <x:v>restaurant_tables</x:v>
      </x:c>
      <x:c r="G35" s="38" t="str">
        <x:v>TC-TABLE-06</x:v>
      </x:c>
      <x:c r="H35" s="38" t="str">
        <x:v>EV-TABLE-06</x:v>
      </x:c>
      <x:c r="I35" s="38" t="str">
        <x:v>Verified</x:v>
      </x:c>
      <x:c r="J35" s="38" t="str">
        <x:v>Verified in the current audit baseline; reconfirm in final release tag.</x:v>
      </x:c>
    </x:row>
    <x:row r="36" ht="46" customHeight="1">
      <x:c r="A36" s="38" t="str">
        <x:v>RES-01</x:v>
      </x:c>
      <x:c r="B36" s="38" t="str">
        <x:v>II.5.1</x:v>
      </x:c>
      <x:c r="C36" s="38" t="str">
        <x:v>II.5.1</x:v>
      </x:c>
      <x:c r="D36" s="38" t="str">
        <x:v>/reservations, /admin/reservations</x:v>
      </x:c>
      <x:c r="E36" s="38" t="str">
        <x:v>/api/reservations</x:v>
      </x:c>
      <x:c r="F36" s="38" t="str">
        <x:v>reservations, restaurant_tables</x:v>
      </x:c>
      <x:c r="G36" s="38" t="str">
        <x:v>TC-RES-01</x:v>
      </x:c>
      <x:c r="H36" s="38" t="str">
        <x:v>EV-RES-01</x:v>
      </x:c>
      <x:c r="I36" s="38" t="str">
        <x:v>Verified</x:v>
      </x:c>
      <x:c r="J36" s="38" t="str">
        <x:v>Verified in the current audit baseline; reconfirm in final release tag.</x:v>
      </x:c>
    </x:row>
    <x:row r="37" ht="46" customHeight="1">
      <x:c r="A37" s="38" t="str">
        <x:v>RES-02</x:v>
      </x:c>
      <x:c r="B37" s="38" t="str">
        <x:v>II.5.2</x:v>
      </x:c>
      <x:c r="C37" s="38" t="str">
        <x:v>II.5.2</x:v>
      </x:c>
      <x:c r="D37" s="38" t="str">
        <x:v>/reservations, /admin/reservations</x:v>
      </x:c>
      <x:c r="E37" s="38" t="str">
        <x:v>/api/reservations</x:v>
      </x:c>
      <x:c r="F37" s="38" t="str">
        <x:v>reservations, restaurant_tables</x:v>
      </x:c>
      <x:c r="G37" s="38" t="str">
        <x:v>TC-RES-02</x:v>
      </x:c>
      <x:c r="H37" s="38" t="str">
        <x:v>EV-RES-02</x:v>
      </x:c>
      <x:c r="I37" s="38" t="str">
        <x:v>Verified</x:v>
      </x:c>
      <x:c r="J37" s="38" t="str">
        <x:v>Verified in the current audit baseline; reconfirm in final release tag.</x:v>
      </x:c>
    </x:row>
    <x:row r="38" ht="46" customHeight="1">
      <x:c r="A38" s="38" t="str">
        <x:v>RES-03</x:v>
      </x:c>
      <x:c r="B38" s="38" t="str">
        <x:v>II.5.3</x:v>
      </x:c>
      <x:c r="C38" s="38" t="str">
        <x:v>II.5.3</x:v>
      </x:c>
      <x:c r="D38" s="38" t="str">
        <x:v>/reservations, /admin/reservations</x:v>
      </x:c>
      <x:c r="E38" s="38" t="str">
        <x:v>/api/reservations</x:v>
      </x:c>
      <x:c r="F38" s="38" t="str">
        <x:v>reservations, restaurant_tables</x:v>
      </x:c>
      <x:c r="G38" s="38" t="str">
        <x:v>TC-RES-03</x:v>
      </x:c>
      <x:c r="H38" s="38" t="str">
        <x:v>EV-RES-03</x:v>
      </x:c>
      <x:c r="I38" s="38" t="str">
        <x:v>Verified</x:v>
      </x:c>
      <x:c r="J38" s="38" t="str">
        <x:v>Verified in the current audit baseline; reconfirm in final release tag.</x:v>
      </x:c>
    </x:row>
    <x:row r="39" ht="46" customHeight="1">
      <x:c r="A39" s="38" t="str">
        <x:v>RES-04</x:v>
      </x:c>
      <x:c r="B39" s="38" t="str">
        <x:v>II.5.4</x:v>
      </x:c>
      <x:c r="C39" s="38" t="str">
        <x:v>II.5.4</x:v>
      </x:c>
      <x:c r="D39" s="38" t="str">
        <x:v>/reservations, /admin/reservations</x:v>
      </x:c>
      <x:c r="E39" s="38" t="str">
        <x:v>/api/reservations</x:v>
      </x:c>
      <x:c r="F39" s="38" t="str">
        <x:v>reservations, restaurant_tables</x:v>
      </x:c>
      <x:c r="G39" s="38" t="str">
        <x:v>TC-RES-04</x:v>
      </x:c>
      <x:c r="H39" s="38" t="str">
        <x:v>EV-RES-04</x:v>
      </x:c>
      <x:c r="I39" s="38" t="str">
        <x:v>Verified</x:v>
      </x:c>
      <x:c r="J39" s="38" t="str">
        <x:v>Verified in the current audit baseline; reconfirm in final release tag.</x:v>
      </x:c>
    </x:row>
    <x:row r="40" ht="46" customHeight="1">
      <x:c r="A40" s="38" t="str">
        <x:v>RES-05</x:v>
      </x:c>
      <x:c r="B40" s="38" t="str">
        <x:v>II.5.5</x:v>
      </x:c>
      <x:c r="C40" s="38" t="str">
        <x:v>II.5.5</x:v>
      </x:c>
      <x:c r="D40" s="38" t="str">
        <x:v>/reservations, /admin/reservations</x:v>
      </x:c>
      <x:c r="E40" s="38" t="str">
        <x:v>/api/reservations</x:v>
      </x:c>
      <x:c r="F40" s="38" t="str">
        <x:v>reservations, restaurant_tables</x:v>
      </x:c>
      <x:c r="G40" s="38" t="str">
        <x:v>TC-RES-05</x:v>
      </x:c>
      <x:c r="H40" s="38" t="str">
        <x:v>EV-RES-05</x:v>
      </x:c>
      <x:c r="I40" s="38" t="str">
        <x:v>Verified</x:v>
      </x:c>
      <x:c r="J40" s="38" t="str">
        <x:v>Verified in the current audit baseline; reconfirm in final release tag.</x:v>
      </x:c>
    </x:row>
    <x:row r="41" ht="46" customHeight="1">
      <x:c r="A41" s="38" t="str">
        <x:v>RES-06</x:v>
      </x:c>
      <x:c r="B41" s="38" t="str">
        <x:v>II.5.6</x:v>
      </x:c>
      <x:c r="C41" s="38" t="str">
        <x:v>II.5.6</x:v>
      </x:c>
      <x:c r="D41" s="38" t="str">
        <x:v>/reservations, /admin/reservations</x:v>
      </x:c>
      <x:c r="E41" s="38" t="str">
        <x:v>/api/reservations</x:v>
      </x:c>
      <x:c r="F41" s="38" t="str">
        <x:v>reservations, restaurant_tables</x:v>
      </x:c>
      <x:c r="G41" s="38" t="str">
        <x:v>TC-RES-06</x:v>
      </x:c>
      <x:c r="H41" s="38" t="str">
        <x:v>EV-RES-06</x:v>
      </x:c>
      <x:c r="I41" s="38" t="str">
        <x:v>Verified</x:v>
      </x:c>
      <x:c r="J41" s="38" t="str">
        <x:v>Verified in the current audit baseline; reconfirm in final release tag.</x:v>
      </x:c>
    </x:row>
    <x:row r="42" ht="46" customHeight="1">
      <x:c r="A42" s="38" t="str">
        <x:v>RES-07</x:v>
      </x:c>
      <x:c r="B42" s="38" t="str">
        <x:v>II.5.7</x:v>
      </x:c>
      <x:c r="C42" s="38" t="str">
        <x:v>II.5.7</x:v>
      </x:c>
      <x:c r="D42" s="38" t="str">
        <x:v>/reservations, /admin/reservations</x:v>
      </x:c>
      <x:c r="E42" s="38" t="str">
        <x:v>/api/reservations</x:v>
      </x:c>
      <x:c r="F42" s="38" t="str">
        <x:v>reservations, restaurant_tables</x:v>
      </x:c>
      <x:c r="G42" s="38" t="str">
        <x:v>TC-RES-07</x:v>
      </x:c>
      <x:c r="H42" s="38" t="str">
        <x:v>EV-RES-07</x:v>
      </x:c>
      <x:c r="I42" s="38" t="str">
        <x:v>Verified</x:v>
      </x:c>
      <x:c r="J42" s="38" t="str">
        <x:v>Verified in the current audit baseline; reconfirm in final release tag.</x:v>
      </x:c>
    </x:row>
    <x:row r="43" ht="46" customHeight="1">
      <x:c r="A43" s="38" t="str">
        <x:v>RES-08</x:v>
      </x:c>
      <x:c r="B43" s="38" t="str">
        <x:v>II.5.8</x:v>
      </x:c>
      <x:c r="C43" s="38" t="str">
        <x:v>II.5.8</x:v>
      </x:c>
      <x:c r="D43" s="38" t="str">
        <x:v>/reservations, /admin/reservations</x:v>
      </x:c>
      <x:c r="E43" s="38" t="str">
        <x:v>/api/reservations</x:v>
      </x:c>
      <x:c r="F43" s="38" t="str">
        <x:v>reservations, restaurant_tables</x:v>
      </x:c>
      <x:c r="G43" s="38" t="str">
        <x:v>TC-RES-08</x:v>
      </x:c>
      <x:c r="H43" s="38" t="str">
        <x:v>EV-RES-08</x:v>
      </x:c>
      <x:c r="I43" s="38" t="str">
        <x:v>Verified</x:v>
      </x:c>
      <x:c r="J43" s="38" t="str">
        <x:v>Verified in the current audit baseline; reconfirm in final release tag.</x:v>
      </x:c>
    </x:row>
    <x:row r="44" ht="46" customHeight="1">
      <x:c r="A44" s="38" t="str">
        <x:v>RES-09</x:v>
      </x:c>
      <x:c r="B44" s="38" t="str">
        <x:v>II.5.9</x:v>
      </x:c>
      <x:c r="C44" s="38" t="str">
        <x:v>II.5.9</x:v>
      </x:c>
      <x:c r="D44" s="38" t="str">
        <x:v>/reservations, /admin/reservations</x:v>
      </x:c>
      <x:c r="E44" s="38" t="str">
        <x:v>/api/reservations</x:v>
      </x:c>
      <x:c r="F44" s="38" t="str">
        <x:v>reservations, restaurant_tables</x:v>
      </x:c>
      <x:c r="G44" s="38" t="str">
        <x:v>TC-RES-09</x:v>
      </x:c>
      <x:c r="H44" s="38" t="str">
        <x:v>EV-RES-09</x:v>
      </x:c>
      <x:c r="I44" s="38" t="str">
        <x:v>Verified</x:v>
      </x:c>
      <x:c r="J44" s="38" t="str">
        <x:v>Verified in the current audit baseline; reconfirm in final release tag.</x:v>
      </x:c>
    </x:row>
    <x:row r="45" ht="46" customHeight="1">
      <x:c r="A45" s="38" t="str">
        <x:v>RES-10</x:v>
      </x:c>
      <x:c r="B45" s="38" t="str">
        <x:v>II.5.10</x:v>
      </x:c>
      <x:c r="C45" s="38" t="str">
        <x:v>II.5.10</x:v>
      </x:c>
      <x:c r="D45" s="38" t="str">
        <x:v>/reservations, /admin/reservations</x:v>
      </x:c>
      <x:c r="E45" s="38" t="str">
        <x:v>/api/reservations</x:v>
      </x:c>
      <x:c r="F45" s="38" t="str">
        <x:v>reservations, restaurant_tables</x:v>
      </x:c>
      <x:c r="G45" s="38" t="str">
        <x:v>TC-RES-10</x:v>
      </x:c>
      <x:c r="H45" s="38" t="str">
        <x:v>EV-RES-10</x:v>
      </x:c>
      <x:c r="I45" s="38" t="str">
        <x:v>Verified</x:v>
      </x:c>
      <x:c r="J45" s="38" t="str">
        <x:v>Verified in the current audit baseline; reconfirm in final release tag.</x:v>
      </x:c>
    </x:row>
    <x:row r="46" ht="46" customHeight="1">
      <x:c r="A46" s="38" t="str">
        <x:v>RES-11</x:v>
      </x:c>
      <x:c r="B46" s="38" t="str">
        <x:v>II.5.11</x:v>
      </x:c>
      <x:c r="C46" s="38" t="str">
        <x:v>II.5.11</x:v>
      </x:c>
      <x:c r="D46" s="38" t="str">
        <x:v>/reservations, /admin/reservations</x:v>
      </x:c>
      <x:c r="E46" s="38" t="str">
        <x:v>/api/reservations</x:v>
      </x:c>
      <x:c r="F46" s="38" t="str">
        <x:v>reservations, restaurant_tables</x:v>
      </x:c>
      <x:c r="G46" s="38" t="str">
        <x:v>TC-RES-11</x:v>
      </x:c>
      <x:c r="H46" s="38" t="str">
        <x:v>EV-RES-11</x:v>
      </x:c>
      <x:c r="I46" s="38" t="str">
        <x:v>Verified</x:v>
      </x:c>
      <x:c r="J46" s="38" t="str">
        <x:v>Verified in the current audit baseline; reconfirm in final release tag.</x:v>
      </x:c>
    </x:row>
    <x:row r="47" ht="46" customHeight="1">
      <x:c r="A47" s="38" t="str">
        <x:v>RES-12</x:v>
      </x:c>
      <x:c r="B47" s="38" t="str">
        <x:v>II.5.12</x:v>
      </x:c>
      <x:c r="C47" s="38" t="str">
        <x:v>II.5.12</x:v>
      </x:c>
      <x:c r="D47" s="38" t="str">
        <x:v>/reservations, /admin/reservations</x:v>
      </x:c>
      <x:c r="E47" s="38" t="str">
        <x:v>/api/reservations</x:v>
      </x:c>
      <x:c r="F47" s="38" t="str">
        <x:v>reservations, restaurant_tables</x:v>
      </x:c>
      <x:c r="G47" s="38" t="str">
        <x:v>TC-RES-12</x:v>
      </x:c>
      <x:c r="H47" s="38" t="str">
        <x:v>EV-RES-12</x:v>
      </x:c>
      <x:c r="I47" s="38" t="str">
        <x:v>Verified</x:v>
      </x:c>
      <x:c r="J47" s="38" t="str">
        <x:v>Verified in the current audit baseline; reconfirm in final release tag.</x:v>
      </x:c>
    </x:row>
    <x:row r="48" ht="46" customHeight="1">
      <x:c r="A48" s="38" t="str">
        <x:v>SYS-01</x:v>
      </x:c>
      <x:c r="B48" s="38" t="str">
        <x:v>II.6.1</x:v>
      </x:c>
      <x:c r="C48" s="38" t="str">
        <x:v>II.6.1</x:v>
      </x:c>
      <x:c r="D48" s="38" t="str">
        <x:v>N/A</x:v>
      </x:c>
      <x:c r="E48" s="38" t="str">
        <x:v>Global exception handling / migration</x:v>
      </x:c>
      <x:c r="F48" s="38" t="str">
        <x:v>flyway_schema_history; shared schema</x:v>
      </x:c>
      <x:c r="G48" s="38" t="str">
        <x:v>TC-SYS-01</x:v>
      </x:c>
      <x:c r="H48" s="38" t="str">
        <x:v>EV-SYS-01</x:v>
      </x:c>
      <x:c r="I48" s="38" t="str">
        <x:v>Verified</x:v>
      </x:c>
      <x:c r="J48" s="38" t="str">
        <x:v>Verified in the current audit baseline; reconfirm in final release tag.</x:v>
      </x:c>
    </x:row>
    <x:row r="49" ht="46" customHeight="1">
      <x:c r="A49" s="38" t="str">
        <x:v>SYS-02</x:v>
      </x:c>
      <x:c r="B49" s="38" t="str">
        <x:v>II.6.2</x:v>
      </x:c>
      <x:c r="C49" s="38" t="str">
        <x:v>II.6.2</x:v>
      </x:c>
      <x:c r="D49" s="38" t="str">
        <x:v>N/A</x:v>
      </x:c>
      <x:c r="E49" s="38" t="str">
        <x:v>Global exception handling / migration</x:v>
      </x:c>
      <x:c r="F49" s="38" t="str">
        <x:v>flyway_schema_history; shared schema</x:v>
      </x:c>
      <x:c r="G49" s="38" t="str">
        <x:v>TC-SYS-02</x:v>
      </x:c>
      <x:c r="H49" s="38" t="str">
        <x:v>EV-SYS-02</x:v>
      </x:c>
      <x:c r="I49" s="38" t="str">
        <x:v>Verified</x:v>
      </x:c>
      <x:c r="J49" s="38" t="str">
        <x:v>Verified in the current audit baseline; reconfirm in final release tag.</x:v>
      </x:c>
    </x:row>
    <x:row r="50" ht="46" customHeight="1">
      <x:c r="A50" s="38" t="str">
        <x:v>CART-01</x:v>
      </x:c>
      <x:c r="B50" s="38" t="str">
        <x:v>II.7.1</x:v>
      </x:c>
      <x:c r="C50" s="38" t="str">
        <x:v>II.7.1</x:v>
      </x:c>
      <x:c r="D50" s="38" t="str">
        <x:v>/cart</x:v>
      </x:c>
      <x:c r="E50" s="38" t="str">
        <x:v>Cart store and/or /api/cart</x:v>
      </x:c>
      <x:c r="F50" s="38" t="str">
        <x:v>carts, cart_items (if persisted)</x:v>
      </x:c>
      <x:c r="G50" s="38" t="str">
        <x:v>TC-CART-01</x:v>
      </x:c>
      <x:c r="H50" s="38" t="str">
        <x:v>EV-CART-01</x:v>
      </x:c>
      <x:c r="I50" s="38" t="str">
        <x:v>Verified</x:v>
      </x:c>
      <x:c r="J50" s="38" t="str">
        <x:v>Verified in the current audit baseline; reconfirm in final release tag.</x:v>
      </x:c>
    </x:row>
    <x:row r="51" ht="46" customHeight="1">
      <x:c r="A51" s="38" t="str">
        <x:v>CART-02</x:v>
      </x:c>
      <x:c r="B51" s="38" t="str">
        <x:v>II.7.2</x:v>
      </x:c>
      <x:c r="C51" s="38" t="str">
        <x:v>II.7.2</x:v>
      </x:c>
      <x:c r="D51" s="38" t="str">
        <x:v>/cart</x:v>
      </x:c>
      <x:c r="E51" s="38" t="str">
        <x:v>Cart store and/or /api/cart</x:v>
      </x:c>
      <x:c r="F51" s="38" t="str">
        <x:v>carts, cart_items (if persisted)</x:v>
      </x:c>
      <x:c r="G51" s="38" t="str">
        <x:v>TC-CART-02</x:v>
      </x:c>
      <x:c r="H51" s="38" t="str">
        <x:v>EV-CART-02</x:v>
      </x:c>
      <x:c r="I51" s="38" t="str">
        <x:v>Verified</x:v>
      </x:c>
      <x:c r="J51" s="38" t="str">
        <x:v>Verified in the current audit baseline; reconfirm in final release tag.</x:v>
      </x:c>
    </x:row>
    <x:row r="52" ht="46" customHeight="1">
      <x:c r="A52" s="38" t="str">
        <x:v>CART-03</x:v>
      </x:c>
      <x:c r="B52" s="38" t="str">
        <x:v>II.7.3</x:v>
      </x:c>
      <x:c r="C52" s="38" t="str">
        <x:v>II.7.3</x:v>
      </x:c>
      <x:c r="D52" s="38" t="str">
        <x:v>/cart</x:v>
      </x:c>
      <x:c r="E52" s="38" t="str">
        <x:v>Cart store and/or /api/cart</x:v>
      </x:c>
      <x:c r="F52" s="38" t="str">
        <x:v>carts, cart_items (if persisted)</x:v>
      </x:c>
      <x:c r="G52" s="38" t="str">
        <x:v>TC-CART-03</x:v>
      </x:c>
      <x:c r="H52" s="38" t="str">
        <x:v>EV-CART-03</x:v>
      </x:c>
      <x:c r="I52" s="38" t="str">
        <x:v>Verified</x:v>
      </x:c>
      <x:c r="J52" s="38" t="str">
        <x:v>Verified in the current audit baseline; reconfirm in final release tag.</x:v>
      </x:c>
    </x:row>
    <x:row r="53" ht="46" customHeight="1">
      <x:c r="A53" s="38" t="str">
        <x:v>CART-04</x:v>
      </x:c>
      <x:c r="B53" s="38" t="str">
        <x:v>II.7.4</x:v>
      </x:c>
      <x:c r="C53" s="38" t="str">
        <x:v>II.7.4</x:v>
      </x:c>
      <x:c r="D53" s="38" t="str">
        <x:v>/cart</x:v>
      </x:c>
      <x:c r="E53" s="38" t="str">
        <x:v>Cart store and/or /api/cart</x:v>
      </x:c>
      <x:c r="F53" s="38" t="str">
        <x:v>carts, cart_items (if persisted)</x:v>
      </x:c>
      <x:c r="G53" s="38" t="str">
        <x:v>TC-CART-04</x:v>
      </x:c>
      <x:c r="H53" s="38" t="str">
        <x:v>EV-CART-04</x:v>
      </x:c>
      <x:c r="I53" s="38" t="str">
        <x:v>Verified</x:v>
      </x:c>
      <x:c r="J53" s="38" t="str">
        <x:v>Verified in the current audit baseline; reconfirm in final release tag.</x:v>
      </x:c>
    </x:row>
    <x:row r="54" ht="46" customHeight="1">
      <x:c r="A54" s="38" t="str">
        <x:v>CART-05</x:v>
      </x:c>
      <x:c r="B54" s="38" t="str">
        <x:v>II.7.5</x:v>
      </x:c>
      <x:c r="C54" s="38" t="str">
        <x:v>II.7.5</x:v>
      </x:c>
      <x:c r="D54" s="38" t="str">
        <x:v>/cart</x:v>
      </x:c>
      <x:c r="E54" s="38" t="str">
        <x:v>Cart store and/or /api/cart</x:v>
      </x:c>
      <x:c r="F54" s="38" t="str">
        <x:v>carts, cart_items (if persisted)</x:v>
      </x:c>
      <x:c r="G54" s="38" t="str">
        <x:v>TC-CART-05</x:v>
      </x:c>
      <x:c r="H54" s="38" t="str">
        <x:v>EV-CART-05</x:v>
      </x:c>
      <x:c r="I54" s="38" t="str">
        <x:v>Verified</x:v>
      </x:c>
      <x:c r="J54" s="38" t="str">
        <x:v>Verified in the current audit baseline; reconfirm in final release tag.</x:v>
      </x:c>
    </x:row>
    <x:row r="55" ht="46" customHeight="1">
      <x:c r="A55" s="38" t="str">
        <x:v>ORDER-01</x:v>
      </x:c>
      <x:c r="B55" s="38" t="str">
        <x:v>II.8.1</x:v>
      </x:c>
      <x:c r="C55" s="38" t="str">
        <x:v>II.8.1</x:v>
      </x:c>
      <x:c r="D55" s="38" t="str">
        <x:v>/orders, /staff/orders</x:v>
      </x:c>
      <x:c r="E55" s="38" t="str">
        <x:v>/api/orders</x:v>
      </x:c>
      <x:c r="F55" s="38" t="str">
        <x:v>restaurant_orders, order_items</x:v>
      </x:c>
      <x:c r="G55" s="38" t="str">
        <x:v>TC-ORDER-01</x:v>
      </x:c>
      <x:c r="H55" s="38" t="str">
        <x:v>EV-ORDER-01</x:v>
      </x:c>
      <x:c r="I55" s="38" t="str">
        <x:v>Verified</x:v>
      </x:c>
      <x:c r="J55" s="38" t="str">
        <x:v>Verified in the current audit baseline; reconfirm in final release tag.</x:v>
      </x:c>
    </x:row>
    <x:row r="56" ht="46" customHeight="1">
      <x:c r="A56" s="38" t="str">
        <x:v>ORDER-02</x:v>
      </x:c>
      <x:c r="B56" s="38" t="str">
        <x:v>II.8.2</x:v>
      </x:c>
      <x:c r="C56" s="38" t="str">
        <x:v>II.8.2</x:v>
      </x:c>
      <x:c r="D56" s="38" t="str">
        <x:v>/orders, /staff/orders</x:v>
      </x:c>
      <x:c r="E56" s="38" t="str">
        <x:v>/api/orders</x:v>
      </x:c>
      <x:c r="F56" s="38" t="str">
        <x:v>restaurant_orders, order_items</x:v>
      </x:c>
      <x:c r="G56" s="38" t="str">
        <x:v>TC-ORDER-02</x:v>
      </x:c>
      <x:c r="H56" s="38" t="str">
        <x:v>EV-ORDER-02</x:v>
      </x:c>
      <x:c r="I56" s="38" t="str">
        <x:v>Verified</x:v>
      </x:c>
      <x:c r="J56" s="38" t="str">
        <x:v>Verified in the current audit baseline; reconfirm in final release tag.</x:v>
      </x:c>
    </x:row>
    <x:row r="57" ht="46" customHeight="1">
      <x:c r="A57" s="38" t="str">
        <x:v>ORDER-03</x:v>
      </x:c>
      <x:c r="B57" s="38" t="str">
        <x:v>II.8.3</x:v>
      </x:c>
      <x:c r="C57" s="38" t="str">
        <x:v>II.8.3</x:v>
      </x:c>
      <x:c r="D57" s="38" t="str">
        <x:v>/orders, /staff/orders</x:v>
      </x:c>
      <x:c r="E57" s="38" t="str">
        <x:v>/api/orders</x:v>
      </x:c>
      <x:c r="F57" s="38" t="str">
        <x:v>restaurant_orders, order_items</x:v>
      </x:c>
      <x:c r="G57" s="38" t="str">
        <x:v>TC-ORDER-03</x:v>
      </x:c>
      <x:c r="H57" s="38" t="str">
        <x:v>EV-ORDER-03</x:v>
      </x:c>
      <x:c r="I57" s="38" t="str">
        <x:v>Verified</x:v>
      </x:c>
      <x:c r="J57" s="38" t="str">
        <x:v>Verified in the current audit baseline; reconfirm in final release tag.</x:v>
      </x:c>
    </x:row>
    <x:row r="58" ht="46" customHeight="1">
      <x:c r="A58" s="38" t="str">
        <x:v>ORDER-04</x:v>
      </x:c>
      <x:c r="B58" s="38" t="str">
        <x:v>II.8.4</x:v>
      </x:c>
      <x:c r="C58" s="38" t="str">
        <x:v>II.8.4</x:v>
      </x:c>
      <x:c r="D58" s="38" t="str">
        <x:v>/orders, /staff/orders</x:v>
      </x:c>
      <x:c r="E58" s="38" t="str">
        <x:v>/api/orders</x:v>
      </x:c>
      <x:c r="F58" s="38" t="str">
        <x:v>restaurant_orders, order_items</x:v>
      </x:c>
      <x:c r="G58" s="38" t="str">
        <x:v>TC-ORDER-04</x:v>
      </x:c>
      <x:c r="H58" s="38" t="str">
        <x:v>EV-ORDER-04</x:v>
      </x:c>
      <x:c r="I58" s="38" t="str">
        <x:v>Partial</x:v>
      </x:c>
      <x:c r="J58" s="38" t="str">
        <x:v>Partial implementation/evidence; close in Gap Analysis.</x:v>
      </x:c>
    </x:row>
    <x:row r="59" ht="46" customHeight="1">
      <x:c r="A59" s="38" t="str">
        <x:v>ORDER-05</x:v>
      </x:c>
      <x:c r="B59" s="38" t="str">
        <x:v>II.8.5</x:v>
      </x:c>
      <x:c r="C59" s="38" t="str">
        <x:v>II.8.5</x:v>
      </x:c>
      <x:c r="D59" s="38" t="str">
        <x:v>/orders, /staff/orders</x:v>
      </x:c>
      <x:c r="E59" s="38" t="str">
        <x:v>/api/orders</x:v>
      </x:c>
      <x:c r="F59" s="38" t="str">
        <x:v>restaurant_orders, order_items</x:v>
      </x:c>
      <x:c r="G59" s="38" t="str">
        <x:v>TC-ORDER-05</x:v>
      </x:c>
      <x:c r="H59" s="38" t="str">
        <x:v>EV-ORDER-05</x:v>
      </x:c>
      <x:c r="I59" s="38" t="str">
        <x:v>Verified</x:v>
      </x:c>
      <x:c r="J59" s="38" t="str">
        <x:v>Verified in the current audit baseline; reconfirm in final release tag.</x:v>
      </x:c>
    </x:row>
    <x:row r="60" ht="46" customHeight="1">
      <x:c r="A60" s="38" t="str">
        <x:v>ORDER-06</x:v>
      </x:c>
      <x:c r="B60" s="38" t="str">
        <x:v>II.8.6</x:v>
      </x:c>
      <x:c r="C60" s="38" t="str">
        <x:v>II.8.6</x:v>
      </x:c>
      <x:c r="D60" s="38" t="str">
        <x:v>/orders, /staff/orders</x:v>
      </x:c>
      <x:c r="E60" s="38" t="str">
        <x:v>/api/orders</x:v>
      </x:c>
      <x:c r="F60" s="38" t="str">
        <x:v>restaurant_orders, order_items</x:v>
      </x:c>
      <x:c r="G60" s="38" t="str">
        <x:v>TC-ORDER-06</x:v>
      </x:c>
      <x:c r="H60" s="38" t="str">
        <x:v>EV-ORDER-06</x:v>
      </x:c>
      <x:c r="I60" s="38" t="str">
        <x:v>Verified</x:v>
      </x:c>
      <x:c r="J60" s="38" t="str">
        <x:v>Verified in the current audit baseline; reconfirm in final release tag.</x:v>
      </x:c>
    </x:row>
    <x:row r="61" ht="46" customHeight="1">
      <x:c r="A61" s="38" t="str">
        <x:v>ORDER-07</x:v>
      </x:c>
      <x:c r="B61" s="38" t="str">
        <x:v>II.8.7</x:v>
      </x:c>
      <x:c r="C61" s="38" t="str">
        <x:v>II.8.7</x:v>
      </x:c>
      <x:c r="D61" s="38" t="str">
        <x:v>/orders, /staff/orders</x:v>
      </x:c>
      <x:c r="E61" s="38" t="str">
        <x:v>/api/orders</x:v>
      </x:c>
      <x:c r="F61" s="38" t="str">
        <x:v>restaurant_orders, order_items</x:v>
      </x:c>
      <x:c r="G61" s="38" t="str">
        <x:v>TC-ORDER-07</x:v>
      </x:c>
      <x:c r="H61" s="38" t="str">
        <x:v>EV-ORDER-07</x:v>
      </x:c>
      <x:c r="I61" s="38" t="str">
        <x:v>Verified</x:v>
      </x:c>
      <x:c r="J61" s="38" t="str">
        <x:v>Verified in the current audit baseline; reconfirm in final release tag.</x:v>
      </x:c>
    </x:row>
    <x:row r="62" ht="46" customHeight="1">
      <x:c r="A62" s="38" t="str">
        <x:v>ORDER-08</x:v>
      </x:c>
      <x:c r="B62" s="38" t="str">
        <x:v>II.8.8</x:v>
      </x:c>
      <x:c r="C62" s="38" t="str">
        <x:v>II.8.8</x:v>
      </x:c>
      <x:c r="D62" s="38" t="str">
        <x:v>/orders, /staff/orders</x:v>
      </x:c>
      <x:c r="E62" s="38" t="str">
        <x:v>/api/orders</x:v>
      </x:c>
      <x:c r="F62" s="38" t="str">
        <x:v>restaurant_orders, order_items</x:v>
      </x:c>
      <x:c r="G62" s="38" t="str">
        <x:v>TC-ORDER-08</x:v>
      </x:c>
      <x:c r="H62" s="38" t="str">
        <x:v>EV-ORDER-08</x:v>
      </x:c>
      <x:c r="I62" s="38" t="str">
        <x:v>Verified</x:v>
      </x:c>
      <x:c r="J62" s="38" t="str">
        <x:v>Verified in the current audit baseline; reconfirm in final release tag.</x:v>
      </x:c>
    </x:row>
    <x:row r="63" ht="46" customHeight="1">
      <x:c r="A63" s="38" t="str">
        <x:v>ORDER-09</x:v>
      </x:c>
      <x:c r="B63" s="38" t="str">
        <x:v>II.8.9</x:v>
      </x:c>
      <x:c r="C63" s="38" t="str">
        <x:v>II.8.9</x:v>
      </x:c>
      <x:c r="D63" s="38" t="str">
        <x:v>/orders, /staff/orders</x:v>
      </x:c>
      <x:c r="E63" s="38" t="str">
        <x:v>/api/orders</x:v>
      </x:c>
      <x:c r="F63" s="38" t="str">
        <x:v>restaurant_orders, order_items</x:v>
      </x:c>
      <x:c r="G63" s="38" t="str">
        <x:v>TC-ORDER-09</x:v>
      </x:c>
      <x:c r="H63" s="38" t="str">
        <x:v>EV-ORDER-09</x:v>
      </x:c>
      <x:c r="I63" s="38" t="str">
        <x:v>Verified</x:v>
      </x:c>
      <x:c r="J63" s="38" t="str">
        <x:v>Verified in the current audit baseline; reconfirm in final release tag.</x:v>
      </x:c>
    </x:row>
    <x:row r="64" ht="46" customHeight="1">
      <x:c r="A64" s="38" t="str">
        <x:v>ORDER-10</x:v>
      </x:c>
      <x:c r="B64" s="38" t="str">
        <x:v>II.8.10</x:v>
      </x:c>
      <x:c r="C64" s="38" t="str">
        <x:v>II.8.10</x:v>
      </x:c>
      <x:c r="D64" s="38" t="str">
        <x:v>/orders, /staff/orders</x:v>
      </x:c>
      <x:c r="E64" s="38" t="str">
        <x:v>/api/orders</x:v>
      </x:c>
      <x:c r="F64" s="38" t="str">
        <x:v>restaurant_orders, order_items</x:v>
      </x:c>
      <x:c r="G64" s="38" t="str">
        <x:v>TC-ORDER-10</x:v>
      </x:c>
      <x:c r="H64" s="38" t="str">
        <x:v>EV-ORDER-10</x:v>
      </x:c>
      <x:c r="I64" s="38" t="str">
        <x:v>Verified</x:v>
      </x:c>
      <x:c r="J64" s="38" t="str">
        <x:v>Verified in the current audit baseline; reconfirm in final release tag.</x:v>
      </x:c>
    </x:row>
    <x:row r="65" ht="46" customHeight="1">
      <x:c r="A65" s="38" t="str">
        <x:v>STAFF-01</x:v>
      </x:c>
      <x:c r="B65" s="38" t="str">
        <x:v>II.9.1</x:v>
      </x:c>
      <x:c r="C65" s="38" t="str">
        <x:v>II.9.1</x:v>
      </x:c>
      <x:c r="D65" s="38" t="str">
        <x:v>/staff/workspace</x:v>
      </x:c>
      <x:c r="E65" s="38" t="str">
        <x:v>/api/table-assignments</x:v>
      </x:c>
      <x:c r="F65" s="38" t="str">
        <x:v>employees, table_assignments, restaurant_tables</x:v>
      </x:c>
      <x:c r="G65" s="38" t="str">
        <x:v>TC-STAFF-01</x:v>
      </x:c>
      <x:c r="H65" s="38" t="str">
        <x:v>EV-STAFF-01</x:v>
      </x:c>
      <x:c r="I65" s="38" t="str">
        <x:v>Verified</x:v>
      </x:c>
      <x:c r="J65" s="38" t="str">
        <x:v>Verified in the current audit baseline; reconfirm in final release tag.</x:v>
      </x:c>
    </x:row>
    <x:row r="66" ht="46" customHeight="1">
      <x:c r="A66" s="38" t="str">
        <x:v>STAFF-02</x:v>
      </x:c>
      <x:c r="B66" s="38" t="str">
        <x:v>II.9.2</x:v>
      </x:c>
      <x:c r="C66" s="38" t="str">
        <x:v>II.9.2</x:v>
      </x:c>
      <x:c r="D66" s="38" t="str">
        <x:v>/staff/workspace</x:v>
      </x:c>
      <x:c r="E66" s="38" t="str">
        <x:v>/api/table-assignments</x:v>
      </x:c>
      <x:c r="F66" s="38" t="str">
        <x:v>employees, table_assignments, restaurant_tables</x:v>
      </x:c>
      <x:c r="G66" s="38" t="str">
        <x:v>TC-STAFF-02</x:v>
      </x:c>
      <x:c r="H66" s="38" t="str">
        <x:v>EV-STAFF-02</x:v>
      </x:c>
      <x:c r="I66" s="38" t="str">
        <x:v>Verified</x:v>
      </x:c>
      <x:c r="J66" s="38" t="str">
        <x:v>Verified in the current audit baseline; reconfirm in final release tag.</x:v>
      </x:c>
    </x:row>
    <x:row r="67" ht="46" customHeight="1">
      <x:c r="A67" s="38" t="str">
        <x:v>STAFF-03</x:v>
      </x:c>
      <x:c r="B67" s="38" t="str">
        <x:v>II.9.3</x:v>
      </x:c>
      <x:c r="C67" s="38" t="str">
        <x:v>II.9.3</x:v>
      </x:c>
      <x:c r="D67" s="38" t="str">
        <x:v>/staff/workspace</x:v>
      </x:c>
      <x:c r="E67" s="38" t="str">
        <x:v>/api/table-assignments</x:v>
      </x:c>
      <x:c r="F67" s="38" t="str">
        <x:v>employees, table_assignments, restaurant_tables</x:v>
      </x:c>
      <x:c r="G67" s="38" t="str">
        <x:v>TC-STAFF-03</x:v>
      </x:c>
      <x:c r="H67" s="38" t="str">
        <x:v>EV-STAFF-03</x:v>
      </x:c>
      <x:c r="I67" s="38" t="str">
        <x:v>Verified</x:v>
      </x:c>
      <x:c r="J67" s="38" t="str">
        <x:v>Verified in the current audit baseline; reconfirm in final release tag.</x:v>
      </x:c>
    </x:row>
    <x:row r="68" ht="46" customHeight="1">
      <x:c r="A68" s="38" t="str">
        <x:v>STAFF-04</x:v>
      </x:c>
      <x:c r="B68" s="38" t="str">
        <x:v>II.9.4</x:v>
      </x:c>
      <x:c r="C68" s="38" t="str">
        <x:v>II.9.4</x:v>
      </x:c>
      <x:c r="D68" s="38" t="str">
        <x:v>/staff/workspace</x:v>
      </x:c>
      <x:c r="E68" s="38" t="str">
        <x:v>/api/table-assignments</x:v>
      </x:c>
      <x:c r="F68" s="38" t="str">
        <x:v>employees, table_assignments, restaurant_tables</x:v>
      </x:c>
      <x:c r="G68" s="38" t="str">
        <x:v>TC-STAFF-04</x:v>
      </x:c>
      <x:c r="H68" s="38" t="str">
        <x:v>EV-STAFF-04</x:v>
      </x:c>
      <x:c r="I68" s="38" t="str">
        <x:v>Verified</x:v>
      </x:c>
      <x:c r="J68" s="38" t="str">
        <x:v>Verified in the current audit baseline; reconfirm in final release tag.</x:v>
      </x:c>
    </x:row>
    <x:row r="69" ht="46" customHeight="1">
      <x:c r="A69" s="38" t="str">
        <x:v>KITCHEN-01</x:v>
      </x:c>
      <x:c r="B69" s="38" t="str">
        <x:v>II.10.1</x:v>
      </x:c>
      <x:c r="C69" s="38" t="str">
        <x:v>II.10.1</x:v>
      </x:c>
      <x:c r="D69" s="38" t="str">
        <x:v>/kitchen</x:v>
      </x:c>
      <x:c r="E69" s="38" t="str">
        <x:v>/api/kitchen/orders</x:v>
      </x:c>
      <x:c r="F69" s="38" t="str">
        <x:v>restaurant_orders, order_items</x:v>
      </x:c>
      <x:c r="G69" s="38" t="str">
        <x:v>TC-KITCHEN-01</x:v>
      </x:c>
      <x:c r="H69" s="38" t="str">
        <x:v>EV-KITCHEN-01</x:v>
      </x:c>
      <x:c r="I69" s="38" t="str">
        <x:v>Verified</x:v>
      </x:c>
      <x:c r="J69" s="38" t="str">
        <x:v>Verified in the current audit baseline; reconfirm in final release tag.</x:v>
      </x:c>
    </x:row>
    <x:row r="70" ht="46" customHeight="1">
      <x:c r="A70" s="38" t="str">
        <x:v>KITCHEN-02</x:v>
      </x:c>
      <x:c r="B70" s="38" t="str">
        <x:v>II.10.2</x:v>
      </x:c>
      <x:c r="C70" s="38" t="str">
        <x:v>II.10.2</x:v>
      </x:c>
      <x:c r="D70" s="38" t="str">
        <x:v>/kitchen</x:v>
      </x:c>
      <x:c r="E70" s="38" t="str">
        <x:v>/api/kitchen/orders</x:v>
      </x:c>
      <x:c r="F70" s="38" t="str">
        <x:v>restaurant_orders, order_items</x:v>
      </x:c>
      <x:c r="G70" s="38" t="str">
        <x:v>TC-KITCHEN-02</x:v>
      </x:c>
      <x:c r="H70" s="38" t="str">
        <x:v>EV-KITCHEN-02</x:v>
      </x:c>
      <x:c r="I70" s="38" t="str">
        <x:v>Verified</x:v>
      </x:c>
      <x:c r="J70" s="38" t="str">
        <x:v>Verified in the current audit baseline; reconfirm in final release tag.</x:v>
      </x:c>
    </x:row>
    <x:row r="71" ht="46" customHeight="1">
      <x:c r="A71" s="38" t="str">
        <x:v>KITCHEN-03</x:v>
      </x:c>
      <x:c r="B71" s="38" t="str">
        <x:v>II.10.3</x:v>
      </x:c>
      <x:c r="C71" s="38" t="str">
        <x:v>II.10.3</x:v>
      </x:c>
      <x:c r="D71" s="38" t="str">
        <x:v>/kitchen</x:v>
      </x:c>
      <x:c r="E71" s="38" t="str">
        <x:v>/api/kitchen/orders</x:v>
      </x:c>
      <x:c r="F71" s="38" t="str">
        <x:v>restaurant_orders, order_items</x:v>
      </x:c>
      <x:c r="G71" s="38" t="str">
        <x:v>TC-KITCHEN-03</x:v>
      </x:c>
      <x:c r="H71" s="38" t="str">
        <x:v>EV-KITCHEN-03</x:v>
      </x:c>
      <x:c r="I71" s="38" t="str">
        <x:v>Verified</x:v>
      </x:c>
      <x:c r="J71" s="38" t="str">
        <x:v>Verified in the current audit baseline; reconfirm in final release tag.</x:v>
      </x:c>
    </x:row>
    <x:row r="72" ht="46" customHeight="1">
      <x:c r="A72" s="38" t="str">
        <x:v>KITCHEN-04</x:v>
      </x:c>
      <x:c r="B72" s="38" t="str">
        <x:v>II.10.4</x:v>
      </x:c>
      <x:c r="C72" s="38" t="str">
        <x:v>II.10.4</x:v>
      </x:c>
      <x:c r="D72" s="38" t="str">
        <x:v>/kitchen</x:v>
      </x:c>
      <x:c r="E72" s="38" t="str">
        <x:v>/api/kitchen/orders</x:v>
      </x:c>
      <x:c r="F72" s="38" t="str">
        <x:v>restaurant_orders, order_items</x:v>
      </x:c>
      <x:c r="G72" s="38" t="str">
        <x:v>TC-KITCHEN-04</x:v>
      </x:c>
      <x:c r="H72" s="38" t="str">
        <x:v>EV-KITCHEN-04</x:v>
      </x:c>
      <x:c r="I72" s="38" t="str">
        <x:v>Verified</x:v>
      </x:c>
      <x:c r="J72" s="38" t="str">
        <x:v>Verified in the current audit baseline; reconfirm in final release tag.</x:v>
      </x:c>
    </x:row>
    <x:row r="73" ht="46" customHeight="1">
      <x:c r="A73" s="38" t="str">
        <x:v>COUPON-01</x:v>
      </x:c>
      <x:c r="B73" s="38" t="str">
        <x:v>II.11.1</x:v>
      </x:c>
      <x:c r="C73" s="38" t="str">
        <x:v>II.11.1</x:v>
      </x:c>
      <x:c r="D73" s="38" t="str">
        <x:v>/admin/coupons, /checkout</x:v>
      </x:c>
      <x:c r="E73" s="38" t="str">
        <x:v>/api/coupons</x:v>
      </x:c>
      <x:c r="F73" s="38" t="str">
        <x:v>coupons, coupon_usages</x:v>
      </x:c>
      <x:c r="G73" s="38" t="str">
        <x:v>TC-COUPON-01</x:v>
      </x:c>
      <x:c r="H73" s="38" t="str">
        <x:v>EV-COUPON-01</x:v>
      </x:c>
      <x:c r="I73" s="38" t="str">
        <x:v>Missing</x:v>
      </x:c>
      <x:c r="J73" s="38" t="str">
        <x:v>Missing implementation/evidence; do not mark complete.</x:v>
      </x:c>
    </x:row>
    <x:row r="74" ht="46" customHeight="1">
      <x:c r="A74" s="38" t="str">
        <x:v>COUPON-02</x:v>
      </x:c>
      <x:c r="B74" s="38" t="str">
        <x:v>II.11.2</x:v>
      </x:c>
      <x:c r="C74" s="38" t="str">
        <x:v>II.11.2</x:v>
      </x:c>
      <x:c r="D74" s="38" t="str">
        <x:v>/admin/coupons, /checkout</x:v>
      </x:c>
      <x:c r="E74" s="38" t="str">
        <x:v>/api/coupons</x:v>
      </x:c>
      <x:c r="F74" s="38" t="str">
        <x:v>coupons, coupon_usages</x:v>
      </x:c>
      <x:c r="G74" s="38" t="str">
        <x:v>TC-COUPON-02</x:v>
      </x:c>
      <x:c r="H74" s="38" t="str">
        <x:v>EV-COUPON-02</x:v>
      </x:c>
      <x:c r="I74" s="38" t="str">
        <x:v>Missing</x:v>
      </x:c>
      <x:c r="J74" s="38" t="str">
        <x:v>Missing implementation/evidence; do not mark complete.</x:v>
      </x:c>
    </x:row>
    <x:row r="75" ht="46" customHeight="1">
      <x:c r="A75" s="38" t="str">
        <x:v>COUPON-03</x:v>
      </x:c>
      <x:c r="B75" s="38" t="str">
        <x:v>II.11.3</x:v>
      </x:c>
      <x:c r="C75" s="38" t="str">
        <x:v>II.11.3</x:v>
      </x:c>
      <x:c r="D75" s="38" t="str">
        <x:v>/admin/coupons, /checkout</x:v>
      </x:c>
      <x:c r="E75" s="38" t="str">
        <x:v>/api/coupons</x:v>
      </x:c>
      <x:c r="F75" s="38" t="str">
        <x:v>coupons, coupon_usages</x:v>
      </x:c>
      <x:c r="G75" s="38" t="str">
        <x:v>TC-COUPON-03</x:v>
      </x:c>
      <x:c r="H75" s="38" t="str">
        <x:v>EV-COUPON-03</x:v>
      </x:c>
      <x:c r="I75" s="38" t="str">
        <x:v>Missing</x:v>
      </x:c>
      <x:c r="J75" s="38" t="str">
        <x:v>Missing implementation/evidence; do not mark complete.</x:v>
      </x:c>
    </x:row>
    <x:row r="76" ht="46" customHeight="1">
      <x:c r="A76" s="38" t="str">
        <x:v>COUPON-04</x:v>
      </x:c>
      <x:c r="B76" s="38" t="str">
        <x:v>II.11.4</x:v>
      </x:c>
      <x:c r="C76" s="38" t="str">
        <x:v>II.11.4</x:v>
      </x:c>
      <x:c r="D76" s="38" t="str">
        <x:v>/admin/coupons, /checkout</x:v>
      </x:c>
      <x:c r="E76" s="38" t="str">
        <x:v>/api/coupons</x:v>
      </x:c>
      <x:c r="F76" s="38" t="str">
        <x:v>coupons, coupon_usages</x:v>
      </x:c>
      <x:c r="G76" s="38" t="str">
        <x:v>TC-COUPON-04</x:v>
      </x:c>
      <x:c r="H76" s="38" t="str">
        <x:v>EV-COUPON-04</x:v>
      </x:c>
      <x:c r="I76" s="38" t="str">
        <x:v>Partial</x:v>
      </x:c>
      <x:c r="J76" s="38" t="str">
        <x:v>Partial implementation/evidence; close in Gap Analysis.</x:v>
      </x:c>
    </x:row>
    <x:row r="77" ht="46" customHeight="1">
      <x:c r="A77" s="38" t="str">
        <x:v>COUPON-05</x:v>
      </x:c>
      <x:c r="B77" s="38" t="str">
        <x:v>II.11.5</x:v>
      </x:c>
      <x:c r="C77" s="38" t="str">
        <x:v>II.11.5</x:v>
      </x:c>
      <x:c r="D77" s="38" t="str">
        <x:v>/admin/coupons, /checkout</x:v>
      </x:c>
      <x:c r="E77" s="38" t="str">
        <x:v>/api/coupons</x:v>
      </x:c>
      <x:c r="F77" s="38" t="str">
        <x:v>coupons, coupon_usages</x:v>
      </x:c>
      <x:c r="G77" s="38" t="str">
        <x:v>TC-COUPON-05</x:v>
      </x:c>
      <x:c r="H77" s="38" t="str">
        <x:v>EV-COUPON-05</x:v>
      </x:c>
      <x:c r="I77" s="38" t="str">
        <x:v>Missing</x:v>
      </x:c>
      <x:c r="J77" s="38" t="str">
        <x:v>Missing implementation/evidence; do not mark complete.</x:v>
      </x:c>
    </x:row>
    <x:row r="78" ht="46" customHeight="1">
      <x:c r="A78" s="38" t="str">
        <x:v>PAY-01</x:v>
      </x:c>
      <x:c r="B78" s="38" t="str">
        <x:v>II.12.1</x:v>
      </x:c>
      <x:c r="C78" s="38" t="str">
        <x:v>II.12.1</x:v>
      </x:c>
      <x:c r="D78" s="38" t="str">
        <x:v>/payment</x:v>
      </x:c>
      <x:c r="E78" s="38" t="str">
        <x:v>/api/payments</x:v>
      </x:c>
      <x:c r="F78" s="38" t="str">
        <x:v>payments, restaurant_orders</x:v>
      </x:c>
      <x:c r="G78" s="38" t="str">
        <x:v>TC-PAY-01</x:v>
      </x:c>
      <x:c r="H78" s="38" t="str">
        <x:v>EV-PAY-01</x:v>
      </x:c>
      <x:c r="I78" s="38" t="str">
        <x:v>Partial</x:v>
      </x:c>
      <x:c r="J78" s="38" t="str">
        <x:v>Partial implementation/evidence; close in Gap Analysis.</x:v>
      </x:c>
    </x:row>
    <x:row r="79" ht="46" customHeight="1">
      <x:c r="A79" s="38" t="str">
        <x:v>PAY-02</x:v>
      </x:c>
      <x:c r="B79" s="38" t="str">
        <x:v>II.12.2</x:v>
      </x:c>
      <x:c r="C79" s="38" t="str">
        <x:v>II.12.2</x:v>
      </x:c>
      <x:c r="D79" s="38" t="str">
        <x:v>/payment</x:v>
      </x:c>
      <x:c r="E79" s="38" t="str">
        <x:v>/api/payments</x:v>
      </x:c>
      <x:c r="F79" s="38" t="str">
        <x:v>payments, restaurant_orders</x:v>
      </x:c>
      <x:c r="G79" s="38" t="str">
        <x:v>TC-PAY-02</x:v>
      </x:c>
      <x:c r="H79" s="38" t="str">
        <x:v>EV-PAY-02</x:v>
      </x:c>
      <x:c r="I79" s="38" t="str">
        <x:v>Missing</x:v>
      </x:c>
      <x:c r="J79" s="38" t="str">
        <x:v>Missing implementation/evidence; do not mark complete.</x:v>
      </x:c>
    </x:row>
    <x:row r="80" ht="46" customHeight="1">
      <x:c r="A80" s="38" t="str">
        <x:v>PAY-03</x:v>
      </x:c>
      <x:c r="B80" s="38" t="str">
        <x:v>II.12.3</x:v>
      </x:c>
      <x:c r="C80" s="38" t="str">
        <x:v>II.12.3</x:v>
      </x:c>
      <x:c r="D80" s="38" t="str">
        <x:v>/payment</x:v>
      </x:c>
      <x:c r="E80" s="38" t="str">
        <x:v>/api/payments</x:v>
      </x:c>
      <x:c r="F80" s="38" t="str">
        <x:v>payments, restaurant_orders</x:v>
      </x:c>
      <x:c r="G80" s="38" t="str">
        <x:v>TC-PAY-03</x:v>
      </x:c>
      <x:c r="H80" s="38" t="str">
        <x:v>EV-PAY-03</x:v>
      </x:c>
      <x:c r="I80" s="38" t="str">
        <x:v>Missing</x:v>
      </x:c>
      <x:c r="J80" s="38" t="str">
        <x:v>Missing implementation/evidence; do not mark complete.</x:v>
      </x:c>
    </x:row>
    <x:row r="81" ht="46" customHeight="1">
      <x:c r="A81" s="38" t="str">
        <x:v>PAY-04</x:v>
      </x:c>
      <x:c r="B81" s="38" t="str">
        <x:v>II.12.4</x:v>
      </x:c>
      <x:c r="C81" s="38" t="str">
        <x:v>II.12.4</x:v>
      </x:c>
      <x:c r="D81" s="38" t="str">
        <x:v>/payment</x:v>
      </x:c>
      <x:c r="E81" s="38" t="str">
        <x:v>/api/payments</x:v>
      </x:c>
      <x:c r="F81" s="38" t="str">
        <x:v>payments, restaurant_orders</x:v>
      </x:c>
      <x:c r="G81" s="38" t="str">
        <x:v>TC-PAY-04</x:v>
      </x:c>
      <x:c r="H81" s="38" t="str">
        <x:v>EV-PAY-04</x:v>
      </x:c>
      <x:c r="I81" s="38" t="str">
        <x:v>Missing</x:v>
      </x:c>
      <x:c r="J81" s="38" t="str">
        <x:v>Missing implementation/evidence; do not mark complete.</x:v>
      </x:c>
    </x:row>
    <x:row r="82" ht="46" customHeight="1">
      <x:c r="A82" s="38" t="str">
        <x:v>INV-01</x:v>
      </x:c>
      <x:c r="B82" s="38" t="str">
        <x:v>II.13.1</x:v>
      </x:c>
      <x:c r="C82" s="38" t="str">
        <x:v>II.13.1</x:v>
      </x:c>
      <x:c r="D82" s="38" t="str">
        <x:v>/invoices</x:v>
      </x:c>
      <x:c r="E82" s="38" t="str">
        <x:v>/api/invoices</x:v>
      </x:c>
      <x:c r="F82" s="38" t="str">
        <x:v>invoices, payments, restaurant_orders</x:v>
      </x:c>
      <x:c r="G82" s="38" t="str">
        <x:v>TC-INV-01</x:v>
      </x:c>
      <x:c r="H82" s="38" t="str">
        <x:v>EV-INV-01</x:v>
      </x:c>
      <x:c r="I82" s="38" t="str">
        <x:v>Missing</x:v>
      </x:c>
      <x:c r="J82" s="38" t="str">
        <x:v>Missing implementation/evidence; do not mark complete.</x:v>
      </x:c>
    </x:row>
    <x:row r="83" ht="46" customHeight="1">
      <x:c r="A83" s="38" t="str">
        <x:v>INV-02</x:v>
      </x:c>
      <x:c r="B83" s="38" t="str">
        <x:v>II.13.2</x:v>
      </x:c>
      <x:c r="C83" s="38" t="str">
        <x:v>II.13.2</x:v>
      </x:c>
      <x:c r="D83" s="38" t="str">
        <x:v>/invoices</x:v>
      </x:c>
      <x:c r="E83" s="38" t="str">
        <x:v>/api/invoices</x:v>
      </x:c>
      <x:c r="F83" s="38" t="str">
        <x:v>invoices, payments, restaurant_orders</x:v>
      </x:c>
      <x:c r="G83" s="38" t="str">
        <x:v>TC-INV-02</x:v>
      </x:c>
      <x:c r="H83" s="38" t="str">
        <x:v>EV-INV-02</x:v>
      </x:c>
      <x:c r="I83" s="38" t="str">
        <x:v>Missing</x:v>
      </x:c>
      <x:c r="J83" s="38" t="str">
        <x:v>Missing implementation/evidence; do not mark complete.</x:v>
      </x:c>
    </x:row>
    <x:row r="84" ht="46" customHeight="1">
      <x:c r="A84" s="38" t="str">
        <x:v>INV-03</x:v>
      </x:c>
      <x:c r="B84" s="38" t="str">
        <x:v>II.13.3</x:v>
      </x:c>
      <x:c r="C84" s="38" t="str">
        <x:v>II.13.3</x:v>
      </x:c>
      <x:c r="D84" s="38" t="str">
        <x:v>/invoices</x:v>
      </x:c>
      <x:c r="E84" s="38" t="str">
        <x:v>/api/invoices</x:v>
      </x:c>
      <x:c r="F84" s="38" t="str">
        <x:v>invoices, payments, restaurant_orders</x:v>
      </x:c>
      <x:c r="G84" s="38" t="str">
        <x:v>TC-INV-03</x:v>
      </x:c>
      <x:c r="H84" s="38" t="str">
        <x:v>EV-INV-03</x:v>
      </x:c>
      <x:c r="I84" s="38" t="str">
        <x:v>Missing</x:v>
      </x:c>
      <x:c r="J84" s="38" t="str">
        <x:v>Missing implementation/evidence; do not mark complete.</x:v>
      </x:c>
    </x:row>
    <x:row r="85" ht="46" customHeight="1">
      <x:c r="A85" s="38" t="str">
        <x:v>FB-01</x:v>
      </x:c>
      <x:c r="B85" s="38" t="str">
        <x:v>II.14.1</x:v>
      </x:c>
      <x:c r="C85" s="38" t="str">
        <x:v>II.14.1</x:v>
      </x:c>
      <x:c r="D85" s="38" t="str">
        <x:v>/feedback, /admin/feedback</x:v>
      </x:c>
      <x:c r="E85" s="38" t="str">
        <x:v>/api/feedbacks</x:v>
      </x:c>
      <x:c r="F85" s="38" t="str">
        <x:v>feedbacks, restaurant_orders</x:v>
      </x:c>
      <x:c r="G85" s="38" t="str">
        <x:v>TC-FB-01</x:v>
      </x:c>
      <x:c r="H85" s="38" t="str">
        <x:v>EV-FB-01</x:v>
      </x:c>
      <x:c r="I85" s="38" t="str">
        <x:v>Partial</x:v>
      </x:c>
      <x:c r="J85" s="38" t="str">
        <x:v>Partial implementation/evidence; close in Gap Analysis.</x:v>
      </x:c>
    </x:row>
    <x:row r="86" ht="46" customHeight="1">
      <x:c r="A86" s="38" t="str">
        <x:v>FB-02</x:v>
      </x:c>
      <x:c r="B86" s="38" t="str">
        <x:v>II.14.2</x:v>
      </x:c>
      <x:c r="C86" s="38" t="str">
        <x:v>II.14.2</x:v>
      </x:c>
      <x:c r="D86" s="38" t="str">
        <x:v>/feedback, /admin/feedback</x:v>
      </x:c>
      <x:c r="E86" s="38" t="str">
        <x:v>/api/feedbacks</x:v>
      </x:c>
      <x:c r="F86" s="38" t="str">
        <x:v>feedbacks, restaurant_orders</x:v>
      </x:c>
      <x:c r="G86" s="38" t="str">
        <x:v>TC-FB-02</x:v>
      </x:c>
      <x:c r="H86" s="38" t="str">
        <x:v>EV-FB-02</x:v>
      </x:c>
      <x:c r="I86" s="38" t="str">
        <x:v>Missing</x:v>
      </x:c>
      <x:c r="J86" s="38" t="str">
        <x:v>Missing implementation/evidence; do not mark complete.</x:v>
      </x:c>
    </x:row>
    <x:row r="87" ht="46" customHeight="1">
      <x:c r="A87" s="38" t="str">
        <x:v>FB-03</x:v>
      </x:c>
      <x:c r="B87" s="38" t="str">
        <x:v>II.14.3</x:v>
      </x:c>
      <x:c r="C87" s="38" t="str">
        <x:v>II.14.3</x:v>
      </x:c>
      <x:c r="D87" s="38" t="str">
        <x:v>/feedback, /admin/feedback</x:v>
      </x:c>
      <x:c r="E87" s="38" t="str">
        <x:v>/api/feedbacks</x:v>
      </x:c>
      <x:c r="F87" s="38" t="str">
        <x:v>feedbacks, restaurant_orders</x:v>
      </x:c>
      <x:c r="G87" s="38" t="str">
        <x:v>TC-FB-03</x:v>
      </x:c>
      <x:c r="H87" s="38" t="str">
        <x:v>EV-FB-03</x:v>
      </x:c>
      <x:c r="I87" s="38" t="str">
        <x:v>Missing</x:v>
      </x:c>
      <x:c r="J87" s="38" t="str">
        <x:v>Missing implementation/evidence; do not mark complete.</x:v>
      </x:c>
    </x:row>
    <x:row r="88" ht="46" customHeight="1">
      <x:c r="A88" s="38" t="str">
        <x:v>FB-04</x:v>
      </x:c>
      <x:c r="B88" s="38" t="str">
        <x:v>II.14.4</x:v>
      </x:c>
      <x:c r="C88" s="38" t="str">
        <x:v>II.14.4</x:v>
      </x:c>
      <x:c r="D88" s="38" t="str">
        <x:v>/feedback, /admin/feedback</x:v>
      </x:c>
      <x:c r="E88" s="38" t="str">
        <x:v>/api/feedbacks</x:v>
      </x:c>
      <x:c r="F88" s="38" t="str">
        <x:v>feedbacks, restaurant_orders</x:v>
      </x:c>
      <x:c r="G88" s="38" t="str">
        <x:v>TC-FB-04</x:v>
      </x:c>
      <x:c r="H88" s="38" t="str">
        <x:v>EV-FB-04</x:v>
      </x:c>
      <x:c r="I88" s="38" t="str">
        <x:v>Missing</x:v>
      </x:c>
      <x:c r="J88" s="38" t="str">
        <x:v>Missing implementation/evidence; do not mark complete.</x:v>
      </x:c>
    </x:row>
    <x:row r="89" ht="46" customHeight="1">
      <x:c r="A89" s="38" t="str">
        <x:v>RPT-01</x:v>
      </x:c>
      <x:c r="B89" s="38" t="str">
        <x:v>II.15.1</x:v>
      </x:c>
      <x:c r="C89" s="38" t="str">
        <x:v>II.15.1</x:v>
      </x:c>
      <x:c r="D89" s="38" t="str">
        <x:v>/admin/dashboard, /admin/reports</x:v>
      </x:c>
      <x:c r="E89" s="38" t="str">
        <x:v>/api/reports</x:v>
      </x:c>
      <x:c r="F89" s="38" t="str">
        <x:v>payments, restaurant_orders, order_items, reservations</x:v>
      </x:c>
      <x:c r="G89" s="38" t="str">
        <x:v>TC-RPT-01</x:v>
      </x:c>
      <x:c r="H89" s="38" t="str">
        <x:v>EV-RPT-01</x:v>
      </x:c>
      <x:c r="I89" s="38" t="str">
        <x:v>Missing</x:v>
      </x:c>
      <x:c r="J89" s="38" t="str">
        <x:v>Missing implementation/evidence; do not mark complete.</x:v>
      </x:c>
    </x:row>
    <x:row r="90" ht="46" customHeight="1">
      <x:c r="A90" s="38" t="str">
        <x:v>RPT-02</x:v>
      </x:c>
      <x:c r="B90" s="38" t="str">
        <x:v>II.15.2</x:v>
      </x:c>
      <x:c r="C90" s="38" t="str">
        <x:v>II.15.2</x:v>
      </x:c>
      <x:c r="D90" s="38" t="str">
        <x:v>/admin/dashboard, /admin/reports</x:v>
      </x:c>
      <x:c r="E90" s="38" t="str">
        <x:v>/api/reports</x:v>
      </x:c>
      <x:c r="F90" s="38" t="str">
        <x:v>payments, restaurant_orders, order_items, reservations</x:v>
      </x:c>
      <x:c r="G90" s="38" t="str">
        <x:v>TC-RPT-02</x:v>
      </x:c>
      <x:c r="H90" s="38" t="str">
        <x:v>EV-RPT-02</x:v>
      </x:c>
      <x:c r="I90" s="38" t="str">
        <x:v>Missing</x:v>
      </x:c>
      <x:c r="J90" s="38" t="str">
        <x:v>Missing implementation/evidence; do not mark complete.</x:v>
      </x:c>
    </x:row>
    <x:row r="91" ht="46" customHeight="1">
      <x:c r="A91" s="38" t="str">
        <x:v>RPT-03</x:v>
      </x:c>
      <x:c r="B91" s="38" t="str">
        <x:v>II.15.3</x:v>
      </x:c>
      <x:c r="C91" s="38" t="str">
        <x:v>II.15.3</x:v>
      </x:c>
      <x:c r="D91" s="38" t="str">
        <x:v>/admin/dashboard, /admin/reports</x:v>
      </x:c>
      <x:c r="E91" s="38" t="str">
        <x:v>/api/reports</x:v>
      </x:c>
      <x:c r="F91" s="38" t="str">
        <x:v>payments, restaurant_orders, order_items, reservations</x:v>
      </x:c>
      <x:c r="G91" s="38" t="str">
        <x:v>TC-RPT-03</x:v>
      </x:c>
      <x:c r="H91" s="38" t="str">
        <x:v>EV-RPT-03</x:v>
      </x:c>
      <x:c r="I91" s="38" t="str">
        <x:v>Missing</x:v>
      </x:c>
      <x:c r="J91" s="38" t="str">
        <x:v>Missing implementation/evidence; do not mark complete.</x:v>
      </x:c>
    </x:row>
    <x:row r="92" ht="46" customHeight="1">
      <x:c r="A92" s="38" t="str">
        <x:v>RPT-04</x:v>
      </x:c>
      <x:c r="B92" s="38" t="str">
        <x:v>II.15.4</x:v>
      </x:c>
      <x:c r="C92" s="38" t="str">
        <x:v>II.15.4</x:v>
      </x:c>
      <x:c r="D92" s="38" t="str">
        <x:v>/admin/dashboard, /admin/reports</x:v>
      </x:c>
      <x:c r="E92" s="38" t="str">
        <x:v>/api/reports</x:v>
      </x:c>
      <x:c r="F92" s="38" t="str">
        <x:v>payments, restaurant_orders, order_items, reservations</x:v>
      </x:c>
      <x:c r="G92" s="38" t="str">
        <x:v>TC-RPT-04</x:v>
      </x:c>
      <x:c r="H92" s="38" t="str">
        <x:v>EV-RPT-04</x:v>
      </x:c>
      <x:c r="I92" s="38" t="str">
        <x:v>Partial</x:v>
      </x:c>
      <x:c r="J92" s="38" t="str">
        <x:v>Partial implementation/evidence; close in Gap Analysis.</x:v>
      </x:c>
    </x:row>
    <x:row r="93" ht="46" customHeight="1">
      <x:c r="A93" s="38" t="str">
        <x:v>AI-01</x:v>
      </x:c>
      <x:c r="B93" s="38" t="str">
        <x:v>II.16.1</x:v>
      </x:c>
      <x:c r="C93" s="38" t="str">
        <x:v>II.16.1</x:v>
      </x:c>
      <x:c r="D93" s="38" t="str">
        <x:v>/ai-analytics, /chatbot</x:v>
      </x:c>
      <x:c r="E93" s="38" t="str">
        <x:v>/api/ai</x:v>
      </x:c>
      <x:c r="F93" s="38" t="str">
        <x:v>AI audit/log storage if configured</x:v>
      </x:c>
      <x:c r="G93" s="38" t="str">
        <x:v>TC-AI-01</x:v>
      </x:c>
      <x:c r="H93" s="38" t="str">
        <x:v>EV-AI-01</x:v>
      </x:c>
      <x:c r="I93" s="38" t="str">
        <x:v>Verified</x:v>
      </x:c>
      <x:c r="J93" s="38" t="str">
        <x:v>Verified in the current audit baseline; reconfirm in final release tag.</x:v>
      </x:c>
    </x:row>
    <x:row r="94" ht="46" customHeight="1">
      <x:c r="A94" s="38" t="str">
        <x:v>AI-02</x:v>
      </x:c>
      <x:c r="B94" s="38" t="str">
        <x:v>II.16.2</x:v>
      </x:c>
      <x:c r="C94" s="38" t="str">
        <x:v>II.16.2</x:v>
      </x:c>
      <x:c r="D94" s="38" t="str">
        <x:v>/ai-analytics, /chatbot</x:v>
      </x:c>
      <x:c r="E94" s="38" t="str">
        <x:v>/api/ai</x:v>
      </x:c>
      <x:c r="F94" s="38" t="str">
        <x:v>AI audit/log storage if configured</x:v>
      </x:c>
      <x:c r="G94" s="38" t="str">
        <x:v>TC-AI-02</x:v>
      </x:c>
      <x:c r="H94" s="38" t="str">
        <x:v>EV-AI-02</x:v>
      </x:c>
      <x:c r="I94" s="38" t="str">
        <x:v>Verified</x:v>
      </x:c>
      <x:c r="J94" s="38" t="str">
        <x:v>Verified in the current audit baseline; reconfirm in final release tag.</x:v>
      </x:c>
    </x:row>
  </x:sheetData>
  <x:mergeCells>
    <x:mergeCell ref="A1:J1"/>
    <x:mergeCell ref="A2:J2"/>
  </x:mergeCells>
  <x:conditionalFormatting sqref="I5:I94">
    <x:cfRule type="expression" dxfId="33" priority="1">
      <x:formula>I5="Verified"</x:formula>
    </x:cfRule>
    <x:cfRule type="expression" dxfId="34" priority="2">
      <x:formula>I5="Partial"</x:formula>
    </x:cfRule>
    <x:cfRule type="expression" dxfId="35" priority="3">
      <x:formula>I5="Missing"</x:formula>
    </x:cfRule>
  </x:conditionalFormatting>
  <x:dataValidations count="1">
    <x:dataValidation type="list" sqref="I5:I9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93a2d0363c44d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48" hidden="0" customWidth="1"/>
    <x:col min="5" max="5" width="3" hidden="0" customWidth="1"/>
    <x:col min="6" max="6" width="13" hidden="0" customWidth="1"/>
    <x:col min="7" max="7" width="26" hidden="0" customWidth="1"/>
    <x:col min="8" max="8" width="55" hidden="0" customWidth="1"/>
  </x:cols>
  <x:sheetData>
    <x:row r="1">
      <x:c r="A1" s="5" t="str">
        <x:v>PROJECT TRACKING GUIDE, STATUS DEFINITIONS &amp; CODE-AUDIT DoD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This sheet defines how the group must update the official final-evaluation tracker consistently.</x:v>
      </x:c>
      <x:c r="B2" s="13"/>
      <x:c r="C2" s="13"/>
      <x:c r="D2" s="13"/>
      <x:c r="E2" s="13"/>
      <x:c r="F2" s="13"/>
      <x:c r="G2" s="13"/>
      <x:c r="H2" s="13"/>
    </x:row>
    <x:row r="4">
      <x:c r="A4" s="30" t="str">
        <x:v>Status</x:v>
      </x:c>
      <x:c r="B4" s="30" t="str">
        <x:v>Meaning</x:v>
      </x:c>
      <x:c r="C4" s="30" t="str">
        <x:v>Allowed Evidence State</x:v>
      </x:c>
      <x:c r="D4" s="30" t="str">
        <x:v>Upgrade Condition</x:v>
      </x:c>
      <x:c r="F4" s="30" t="str">
        <x:v>Complexity</x:v>
      </x:c>
      <x:c r="G4" s="30" t="str">
        <x:v>Evaluation LOC Band</x:v>
      </x:c>
      <x:c r="H4" s="30" t="str">
        <x:v>Interpretation</x:v>
      </x:c>
    </x:row>
    <x:row r="5" ht="40" customHeight="1">
      <x:c r="A5" s="38" t="str">
        <x:v>Not Started</x:v>
      </x:c>
      <x:c r="B5" s="38" t="str">
        <x:v>No auditable implementation is available.</x:v>
      </x:c>
      <x:c r="C5" s="38" t="str">
        <x:v>Missing</x:v>
      </x:c>
      <x:c r="D5" s="38" t="str">
        <x:v>Create code/design/migration/test evidence before changing status.</x:v>
      </x:c>
      <x:c r="F5" s="38" t="str">
        <x:v>Simple</x:v>
      </x:c>
      <x:c r="G5" s="38" t="n">
        <x:v>60</x:v>
      </x:c>
      <x:c r="H5" s="38" t="str">
        <x:v>Small isolated function with limited rules/dependencies.</x:v>
      </x:c>
    </x:row>
    <x:row r="6" ht="40" customHeight="1">
      <x:c r="A6" s="38" t="str">
        <x:v>Doing</x:v>
      </x:c>
      <x:c r="B6" s="38" t="str">
        <x:v>Some implementation exists but acceptance criteria or evidence is incomplete.</x:v>
      </x:c>
      <x:c r="C6" s="38" t="str">
        <x:v>Partial</x:v>
      </x:c>
      <x:c r="D6" s="38" t="str">
        <x:v>Complete all acceptance criteria and required evidence.</x:v>
      </x:c>
      <x:c r="F6" s="38" t="str">
        <x:v>Medium</x:v>
      </x:c>
      <x:c r="G6" s="38" t="n">
        <x:v>120</x:v>
      </x:c>
      <x:c r="H6" s="38" t="str">
        <x:v>Integrated UI/API function or moderate business validation.</x:v>
      </x:c>
    </x:row>
    <x:row r="7" ht="40" customHeight="1">
      <x:c r="A7" s="38" t="str">
        <x:v>Done</x:v>
      </x:c>
      <x:c r="B7" s="38" t="str">
        <x:v>Implemented as planned and verified against the tagged code.</x:v>
      </x:c>
      <x:c r="C7" s="38" t="str">
        <x:v>Verified</x:v>
      </x:c>
      <x:c r="D7" s="38" t="str">
        <x:v>All Code-Audit DoD items pass.</x:v>
      </x:c>
      <x:c r="F7" s="38" t="str">
        <x:v>Complex</x:v>
      </x:c>
      <x:c r="G7" s="38" t="n">
        <x:v>240</x:v>
      </x:c>
      <x:c r="H7" s="38" t="str">
        <x:v>Transaction, security, concurrency, financial, or multi-layer function.</x:v>
      </x:c>
    </x:row>
    <x:row r="8" ht="40" customHeight="1">
      <x:c r="A8" s="38" t="str">
        <x:v>Updated</x:v>
      </x:c>
      <x:c r="B8" s="38" t="str">
        <x:v>Previously completed function was materially improved in a later iteration and reverified.</x:v>
      </x:c>
      <x:c r="C8" s="38" t="str">
        <x:v>Verified</x:v>
      </x:c>
      <x:c r="D8" s="38" t="str">
        <x:v>Original and updated behavior are documented and tested.</x:v>
      </x:c>
    </x:row>
    <x:row r="9" ht="40" customHeight="1"/>
    <x:row r="10" ht="40" customHeight="1">
      <x:c r="F10" s="30" t="str">
        <x:v>DoD ID</x:v>
      </x:c>
      <x:c r="G10" s="30" t="str">
        <x:v>Code-Audit Definition of Done</x:v>
      </x:c>
      <x:c r="H10" s="30" t="str">
        <x:v>Required Evidence</x:v>
      </x:c>
    </x:row>
    <x:row r="11" ht="40" customHeight="1">
      <x:c r="A11" s="30" t="str">
        <x:v>Priority</x:v>
      </x:c>
      <x:c r="B11" s="30" t="str">
        <x:v>Definition</x:v>
      </x:c>
      <x:c r="C11" s="30" t="str">
        <x:v>Response</x:v>
      </x:c>
      <x:c r="D11" s="30" t="str">
        <x:v>Examples</x:v>
      </x:c>
      <x:c r="F11" s="38" t="str">
        <x:v>DoD-01</x:v>
      </x:c>
      <x:c r="G11" s="38" t="str">
        <x:v>Source code exists in the final tagged release and builds successfully.</x:v>
      </x:c>
      <x:c r="H11" s="38" t="str">
        <x:v>Commit/PR/tag and build/CI result.</x:v>
      </x:c>
    </x:row>
    <x:row r="12" ht="40" customHeight="1">
      <x:c r="A12" s="38" t="str">
        <x:v>Critical</x:v>
      </x:c>
      <x:c r="B12" s="38" t="str">
        <x:v>Release/security/financial integrity or core workflow blocker.</x:v>
      </x:c>
      <x:c r="C12" s="38" t="str">
        <x:v>Must close before final tag.</x:v>
      </x:c>
      <x:c r="D12" s="38" t="str">
        <x:v>JWT, role authorization, order total, coupon, payment, invoice.</x:v>
      </x:c>
      <x:c r="F12" s="38" t="str">
        <x:v>DoD-02</x:v>
      </x:c>
      <x:c r="G12" s="38" t="str">
        <x:v>Required database migration runs on a clean database.</x:v>
      </x:c>
      <x:c r="H12" s="38" t="str">
        <x:v>Migration file, Flyway history, SQL screenshot.</x:v>
      </x:c>
    </x:row>
    <x:row r="13" ht="40" customHeight="1">
      <x:c r="A13" s="38" t="str">
        <x:v>High</x:v>
      </x:c>
      <x:c r="B13" s="38" t="str">
        <x:v>Important functional or data-integrity requirement.</x:v>
      </x:c>
      <x:c r="C13" s="38" t="str">
        <x:v>Close before final demo unless explicitly excluded.</x:v>
      </x:c>
      <x:c r="D13" s="38" t="str">
        <x:v>User CRUD, reservation concurrency, feedback persistence, reports.</x:v>
      </x:c>
      <x:c r="F13" s="38" t="str">
        <x:v>DoD-03</x:v>
      </x:c>
      <x:c r="G13" s="38" t="str">
        <x:v>Backend API/business logic is validated and secured.</x:v>
      </x:c>
      <x:c r="H13" s="38" t="str">
        <x:v>Controller/service/repository code and API tests.</x:v>
      </x:c>
    </x:row>
    <x:row r="14" ht="40" customHeight="1">
      <x:c r="A14" s="38" t="str">
        <x:v>Medium</x:v>
      </x:c>
      <x:c r="B14" s="38" t="str">
        <x:v>Useful function with limited release risk.</x:v>
      </x:c>
      <x:c r="C14" s="38" t="str">
        <x:v>Complete if in scope; otherwise document limitation.</x:v>
      </x:c>
      <x:c r="D14" s="38" t="str">
        <x:v>Filters, history views, AI assistance.</x:v>
      </x:c>
      <x:c r="F14" s="38" t="str">
        <x:v>DoD-04</x:v>
      </x:c>
      <x:c r="G14" s="38" t="str">
        <x:v>Frontend consumes the real API; no production mock/local-only data remains.</x:v>
      </x:c>
      <x:c r="H14" s="38" t="str">
        <x:v>Network evidence and screenshots.</x:v>
      </x:c>
    </x:row>
    <x:row r="15" ht="40" customHeight="1">
      <x:c r="A15" s="38" t="str">
        <x:v>Low</x:v>
      </x:c>
      <x:c r="B15" s="38" t="str">
        <x:v>Optional enhancement.</x:v>
      </x:c>
      <x:c r="C15" s="38" t="str">
        <x:v>May be deferred with teacher approval.</x:v>
      </x:c>
      <x:c r="D15" s="38" t="str">
        <x:v>Cosmetic or non-essential improvements.</x:v>
      </x:c>
      <x:c r="F15" s="38" t="str">
        <x:v>DoD-05</x:v>
      </x:c>
      <x:c r="G15" s="38" t="str">
        <x:v>Happy path, validation, authorization, duplicate/concurrency, and error cases pass.</x:v>
      </x:c>
      <x:c r="H15" s="38" t="str">
        <x:v>Unit/integration/Postman/test report.</x:v>
      </x:c>
    </x:row>
    <x:row r="16" ht="40" customHeight="1">
      <x:c r="F16" s="38" t="str">
        <x:v>DoD-06</x:v>
      </x:c>
      <x:c r="G16" s="38" t="str">
        <x:v>SRS and SDS match behavior, database, classes, and sequence.</x:v>
      </x:c>
      <x:c r="H16" s="38" t="str">
        <x:v>Updated document references.</x:v>
      </x:c>
    </x:row>
    <x:row r="17" ht="40" customHeight="1">
      <x:c r="F17" s="38" t="str">
        <x:v>DoD-07</x:v>
      </x:c>
      <x:c r="G17" s="38" t="str">
        <x:v>Evidence is registered by Evidence ID and available for defense.</x:v>
      </x:c>
      <x:c r="H17" s="38" t="str">
        <x:v>Evidence folder/link/index.</x:v>
      </x:c>
    </x:row>
    <x:row r="18" ht="40" customHeight="1"/>
    <x:row r="19" ht="40" customHeight="1">
      <x:c r="A19" s="30" t="str">
        <x:v>Update Workflow</x:v>
      </x:c>
      <x:c r="B19" s="30"/>
      <x:c r="C19" s="30"/>
      <x:c r="D19" s="30"/>
      <x:c r="E19" s="30"/>
      <x:c r="F19" s="30"/>
      <x:c r="G19" s="30"/>
      <x:c r="H19" s="30"/>
    </x:row>
    <x:row r="20" ht="40" customHeight="1">
      <x:c r="A20" s="38" t="str">
        <x:v>1</x:v>
      </x:c>
      <x:c r="B20" s="38" t="str">
        <x:v>Member implements the function on the assigned branch and runs self-test.</x:v>
      </x:c>
    </x:row>
    <x:row r="21" ht="40" customHeight="1">
      <x:c r="A21" s="38" t="str">
        <x:v>2</x:v>
      </x:c>
      <x:c r="B21" s="38" t="str">
        <x:v>Member updates SRS/SDS and prepares test/evidence using the Work ID.</x:v>
      </x:c>
    </x:row>
    <x:row r="22" ht="40" customHeight="1">
      <x:c r="A22" s="38" t="str">
        <x:v>3</x:v>
      </x:c>
      <x:c r="B22" s="38" t="str">
        <x:v>Reviewer checks acceptance criteria and traceability against code/database.</x:v>
      </x:c>
    </x:row>
    <x:row r="23" ht="40" customHeight="1">
      <x:c r="A23" s="38" t="str">
        <x:v>4</x:v>
      </x:c>
      <x:c r="B23" s="38" t="str">
        <x:v>Only after review, update Evidence Status to Verified and Status to Done/Updated.</x:v>
      </x:c>
    </x:row>
    <x:row r="24" ht="40" customHeight="1">
      <x:c r="A24" s="38" t="str">
        <x:v>5</x:v>
      </x:c>
      <x:c r="B24" s="38" t="str">
        <x:v>Before iteration/final demo, reconcile Project, Iter sheet, Gap Analysis, and Traceability.</x:v>
      </x:c>
    </x:row>
  </x:sheetData>
  <x:mergeCells>
    <x:mergeCell ref="A1:H1"/>
    <x:mergeCell ref="A2:H2"/>
    <x:mergeCell ref="A19:H1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0" hidden="0" customWidth="1"/>
    <x:col min="5" max="5" width="65" hidden="0" customWidth="1"/>
    <x:col min="6" max="6" width="55" hidden="0" customWidth="1"/>
  </x:cols>
  <x:sheetData>
    <x:row r="1">
      <x:c r="A1" s="5" t="str">
        <x:v>PROJECT TRACKING CHANGE LOG</x:v>
      </x:c>
      <x:c r="B1" s="5"/>
      <x:c r="C1" s="5"/>
      <x:c r="D1" s="5"/>
      <x:c r="E1" s="5"/>
      <x:c r="F1" s="5"/>
    </x:row>
    <x:row r="3">
      <x:c r="A3" s="30" t="str">
        <x:v>Version</x:v>
      </x:c>
      <x:c r="B3" s="30" t="str">
        <x:v>Date</x:v>
      </x:c>
      <x:c r="C3" s="30" t="str">
        <x:v>Change Type</x:v>
      </x:c>
      <x:c r="D3" s="30" t="str">
        <x:v>In Charge</x:v>
      </x:c>
      <x:c r="E3" s="30" t="str">
        <x:v>Change Description</x:v>
      </x:c>
      <x:c r="F3" s="30" t="str">
        <x:v>Approval / Note</x:v>
      </x:c>
    </x:row>
    <x:row r="4" ht="50" customHeight="1">
      <x:c r="A4" s="38" t="str">
        <x:v>1.0</x:v>
      </x:c>
      <x:c r="B4" s="56" t="n">
        <x:v>46215</x:v>
      </x:c>
      <x:c r="C4" s="38" t="str">
        <x:v>Added</x:v>
      </x:c>
      <x:c r="D4" s="38" t="str">
        <x:v>Group 01</x:v>
      </x:c>
      <x:c r="E4" s="38" t="str">
        <x:v>Initial high-level project tracking created from product feature groups.</x:v>
      </x:c>
      <x:c r="F4" s="38" t="str">
        <x:v>Superseded because the scope was too coarse for final evaluation.</x:v>
      </x:c>
    </x:row>
    <x:row r="5" ht="50" customHeight="1">
      <x:c r="A5" s="38" t="str">
        <x:v>1.1</x:v>
      </x:c>
      <x:c r="B5" s="56" t="n">
        <x:v>46215</x:v>
      </x:c>
      <x:c r="C5" s="38" t="str">
        <x:v>Modified</x:v>
      </x:c>
      <x:c r="D5" s="38" t="str">
        <x:v>Group 01</x:v>
      </x:c>
      <x:c r="E5" s="38" t="str">
        <x:v>Statuses aligned with code-audit gaps for JWT, Admin Accounts, Coupon, Payment/Invoice, Feedback, and Reports.</x:v>
      </x:c>
      <x:c r="F5" s="38" t="str">
        <x:v>Established audit-safe baseline.</x:v>
      </x:c>
    </x:row>
    <x:row r="6" ht="50" customHeight="1">
      <x:c r="A6" s="38" t="str">
        <x:v>2.0</x:v>
      </x:c>
      <x:c r="B6" s="56" t="n">
        <x:v>46216</x:v>
      </x:c>
      <x:c r="C6" s="38" t="str">
        <x:v>Modified</x:v>
      </x:c>
      <x:c r="D6" s="38" t="str">
        <x:v>Group 01</x:v>
      </x:c>
      <x:c r="E6" s="38" t="str">
        <x:v>Expanded to 90 auditable functions; added balanced ownership, acceptance criteria, LOC bands, dashboard, gap analysis, traceability, workload, and DoD.</x:v>
      </x:c>
      <x:c r="F6" s="38" t="str">
        <x:v>Recommended final-evaluation working baseline.</x:v>
      </x:c>
    </x:row>
  </x:sheetData>
  <x:mergeCells>
    <x:mergeCell ref="A1:F1"/>
  </x:mergeCells>
  <x:pageMargins left="0.7" right="0.7" top="0.75" bottom="0.75" header="0.3" footer="0.3"/>
</x:worksheet>
</file>